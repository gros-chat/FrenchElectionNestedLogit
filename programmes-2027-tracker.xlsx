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ness" sheetId="1" state="visible" r:id="rId3"/>
    <sheet name="Candidates" sheetId="2" state="visible" r:id="rId4"/>
    <sheet name="Gap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<sst xmlns="http://schemas.openxmlformats.org/spreadsheetml/2006/main" count="123" uniqueCount="116">
  <si>
    <t xml:space="preserve">2027 presidential programmes: how complete are they?</t>
  </si>
  <si>
    <t xml:space="preserve">Tracker: quiproposequoi2027.fr, updated 30 September 2026, 09:08 Paris time. Blue = figures from the tracker; black = formulas.</t>
  </si>
  <si>
    <t xml:space="preserve">Measure</t>
  </si>
  <si>
    <t xml:space="preserve">Value</t>
  </si>
  <si>
    <t xml:space="preserve">Share of possible positions</t>
  </si>
  <si>
    <t xml:space="preserve">Note</t>
  </si>
  <si>
    <t xml:space="preserve">Declared candidates tracked</t>
  </si>
  <si>
    <t xml:space="preserve">Candidates followed by the tracker</t>
  </si>
  <si>
    <t xml:space="preserve">Topics tracked</t>
  </si>
  <si>
    <t xml:space="preserve">Work, health, pensions, housing, economy, public finances, security, immigration, climate, education, Europe, agriculture, democracy, territories, defence, disability, digital, space</t>
  </si>
  <si>
    <t xml:space="preserve">Possible positions</t>
  </si>
  <si>
    <t xml:space="preserve">Candidates × topics</t>
  </si>
  <si>
    <t xml:space="preserve">Quantified positions</t>
  </si>
  <si>
    <t xml:space="preserve">An amount, a date or a number</t>
  </si>
  <si>
    <t xml:space="preserve">Intentions without a figure</t>
  </si>
  <si>
    <t xml:space="preserve">Stated intention, no figure</t>
  </si>
  <si>
    <t xml:space="preserve">Nothing said yet</t>
  </si>
  <si>
    <t xml:space="preserve">No public position on the topic</t>
  </si>
  <si>
    <t xml:space="preserve">Check: sum of the three categories</t>
  </si>
  <si>
    <t xml:space="preserve">Should equal possible positions</t>
  </si>
  <si>
    <t xml:space="preserve">Difference (should be 0)</t>
  </si>
  <si>
    <t xml:space="preserve">The tracker notes that the official campaign starts only two weeks before the first round (18 April 2027), so programmes will keep moving.</t>
  </si>
  <si>
    <t xml:space="preserve">What is usable for the model so far, by candidate</t>
  </si>
  <si>
    <t xml:space="preserve">Figures as published by candidates and summarised by quiproposequoi2027.fr (30 Sept 2026) and lenouveaupresident.com. Blue = published figures. Empty = not announced.</t>
  </si>
  <si>
    <t xml:space="preserve">Candidate</t>
  </si>
  <si>
    <t xml:space="preserve">Party</t>
  </si>
  <si>
    <t xml:space="preserve">Spending, tax and fiscal promises</t>
  </si>
  <si>
    <t xml:space="preserve">Other dimensions</t>
  </si>
  <si>
    <t xml:space="preserve">Announced savings (€bn)</t>
  </si>
  <si>
    <t xml:space="preserve">Public spending cut over the term (€bn)</t>
  </si>
  <si>
    <t xml:space="preserve">Tax cuts for companies (€bn)</t>
  </si>
  <si>
    <t xml:space="preserve">Deficit target (% of GDP, end of term)</t>
  </si>
  <si>
    <t xml:space="preserve">Minimum wage pledge (€ per month)</t>
  </si>
  <si>
    <t xml:space="preserve">Minimum wage basis</t>
  </si>
  <si>
    <t xml:space="preserve">Retirement age pledge</t>
  </si>
  <si>
    <t xml:space="preserve">Most usable for</t>
  </si>
  <si>
    <t xml:space="preserve">Marine Le Pen</t>
  </si>
  <si>
    <t xml:space="preserve">RN</t>
  </si>
  <si>
    <t xml:space="preserve">Energy VAT cut from 20% to 5.5%; €125bn of savings announced, financing details expected in autumn 2026</t>
  </si>
  <si>
    <t xml:space="preserve">"National priority" for jobs and some benefits; sharply reduced immigration; retirement at 60 for those who started before 20</t>
  </si>
  <si>
    <t xml:space="preserve">60 (started work before 20)</t>
  </si>
  <si>
    <t xml:space="preserve">Fiscal gain by income group</t>
  </si>
  <si>
    <t xml:space="preserve">Jean-Luc Mélenchon</t>
  </si>
  <si>
    <t xml:space="preserve">LFI</t>
  </si>
  <si>
    <t xml:space="preserve">Minimum wage €1,600 net, wealth tax restored, retirement at 60</t>
  </si>
  <si>
    <t xml:space="preserve">Ecological planning, a Sixth Republic</t>
  </si>
  <si>
    <t xml:space="preserve">net</t>
  </si>
  <si>
    <t xml:space="preserve">60</t>
  </si>
  <si>
    <t xml:space="preserve">Édouard Philippe</t>
  </si>
  <si>
    <t xml:space="preserve">Horizons</t>
  </si>
  <si>
    <t xml:space="preserve">Golden budget rule in the Constitution, deficit from over 5% to 2% of GDP by the end of the term; €50bn cut in production taxes against €50bn less public aid</t>
  </si>
  <si>
    <t xml:space="preserve">Partly funded pensions, departure beyond 64, unemployment benefit capped at 12 months for under-50s</t>
  </si>
  <si>
    <t xml:space="preserve">Beyond 64</t>
  </si>
  <si>
    <t xml:space="preserve">Spending control</t>
  </si>
  <si>
    <t xml:space="preserve">Bruno Retailleau</t>
  </si>
  <si>
    <t xml:space="preserve">LR</t>
  </si>
  <si>
    <t xml:space="preserve">€80bn less public spending over the term, €40bn of tax cuts for companies</t>
  </si>
  <si>
    <t xml:space="preserve">Abolition of birthright citizenship</t>
  </si>
  <si>
    <t xml:space="preserve">Gabriel Attal</t>
  </si>
  <si>
    <t xml:space="preserve">Renaissance</t>
  </si>
  <si>
    <t xml:space="preserve">Higher pay for all teachers, financed by savings "notably on social spending"</t>
  </si>
  <si>
    <t xml:space="preserve">Labour-immigration quotas voted each year by Parliament</t>
  </si>
  <si>
    <t xml:space="preserve">Confirms existing scores</t>
  </si>
  <si>
    <t xml:space="preserve">Raphaël Glucksmann</t>
  </si>
  <si>
    <t xml:space="preserve">Place publique</t>
  </si>
  <si>
    <t xml:space="preserve">Shifting tax from work to the largest inheritances</t>
  </si>
  <si>
    <t xml:space="preserve">Reindustrialisation at European scale</t>
  </si>
  <si>
    <t xml:space="preserve">Marine Tondelier</t>
  </si>
  <si>
    <t xml:space="preserve">Les Écologistes</t>
  </si>
  <si>
    <t xml:space="preserve">Minimum wage €2,000 gross with a compensation fund for small firms; tax on very large fortunes</t>
  </si>
  <si>
    <t xml:space="preserve">Nuclear phase-out; a single seven-year presidential term</t>
  </si>
  <si>
    <t xml:space="preserve">gross</t>
  </si>
  <si>
    <t xml:space="preserve">Fabien Roussel</t>
  </si>
  <si>
    <t xml:space="preserve">PCF</t>
  </si>
  <si>
    <t xml:space="preserve">€500bn public fund over five years; minimum wage €1,700 net and a 5% rise in all wages</t>
  </si>
  <si>
    <t xml:space="preserve">Retirement at 60; 20 EPR2 reactors; 60,000 police and customs posts</t>
  </si>
  <si>
    <t xml:space="preserve">Florian Philippot</t>
  </si>
  <si>
    <t xml:space="preserve">Les Patriotes</t>
  </si>
  <si>
    <t xml:space="preserve">€60bn of savings and €74.8bn of annual revenue attributed to leaving the EU</t>
  </si>
  <si>
    <t xml:space="preserve">Exit from the EU, the euro, Schengen, the ECHR, NATO and the WHO</t>
  </si>
  <si>
    <t xml:space="preserve">European integration (Frexit)</t>
  </si>
  <si>
    <t xml:space="preserve">Summary</t>
  </si>
  <si>
    <t xml:space="preserve">Candidates with a savings or spending-cut figure</t>
  </si>
  <si>
    <t xml:space="preserve">Candidates with a minimum-wage pledge</t>
  </si>
  <si>
    <t xml:space="preserve">Candidates with a retirement-age pledge</t>
  </si>
  <si>
    <t xml:space="preserve">Tondelier's minimum wage is stated gross, the others net: the figures are not directly comparable. Philippe's €50bn production-tax cut is offset by €50bn less public aid to companies.</t>
  </si>
  <si>
    <t xml:space="preserve">What is still missing</t>
  </si>
  <si>
    <t xml:space="preserve">Gap</t>
  </si>
  <si>
    <t xml:space="preserve">Detail</t>
  </si>
  <si>
    <t xml:space="preserve">Consequence for the model</t>
  </si>
  <si>
    <t xml:space="preserve">Whole programmes</t>
  </si>
  <si>
    <t xml:space="preserve">Bertrand's detailed costing not published as of 1 September 2026; the UPR says its 2027 programme is "being drafted"; the PS candidate depends on a left primary that has not happened yet</t>
  </si>
  <si>
    <t xml:space="preserve">Several parties cannot be re-scored for 2027 yet</t>
  </si>
  <si>
    <t xml:space="preserve">Independent costings</t>
  </si>
  <si>
    <t xml:space="preserve">No verified equivalent of the Institut Montaigne 2024 costings that anchor the spending-control scale. One secondary site cites an Institut Montaigne costing of the RN programme for 2026, not confirmed</t>
  </si>
  <si>
    <t xml:space="preserve">The spending-control scale cannot be re-anchored on 2027 figures</t>
  </si>
  <si>
    <t xml:space="preserve">Expert scores</t>
  </si>
  <si>
    <t xml:space="preserve">No Chapel Hill Expert Survey scores for 2027 positions; the 2024 wave is the latest</t>
  </si>
  <si>
    <t xml:space="preserve">Expert-survey dimensions stay at their 2024 values</t>
  </si>
  <si>
    <t xml:space="preserve">Most usable signals now: spending control (Philippe's 2% deficit target, Retailleau's €80bn of cuts) and fiscal promises by income group (LFI's wealth tax and €1,600 minimum wage, RN's energy VAT cut, Glucksmann's inheritance tax). Immigration and EU positions mostly confirm the existing scores.</t>
  </si>
  <si>
    <t xml:space="preserve">Sources</t>
  </si>
  <si>
    <t xml:space="preserve">Source</t>
  </si>
  <si>
    <t xml:space="preserve">URL</t>
  </si>
  <si>
    <t xml:space="preserve">Used for</t>
  </si>
  <si>
    <t xml:space="preserve">Qui propose quoi 2027 (programme tracker, updated 30 Sept 2026)</t>
  </si>
  <si>
    <t xml:space="preserve">https://quiproposequoi2027.fr/</t>
  </si>
  <si>
    <t xml:space="preserve">Completeness counts; candidate summaries</t>
  </si>
  <si>
    <t xml:space="preserve">Le Choc des Programmes</t>
  </si>
  <si>
    <t xml:space="preserve">https://www.lenouveaupresident.com/programmes</t>
  </si>
  <si>
    <t xml:space="preserve">Philippe, Bardella/RN and Mélenchon economic measures</t>
  </si>
  <si>
    <t xml:space="preserve">Fondation IFRAP, comparateur Présidentielles 2027</t>
  </si>
  <si>
    <t xml:space="preserve">https://www.ifrap.org/comparateurs/presidentielles-2027</t>
  </si>
  <si>
    <t xml:space="preserve">Cross-check of announced and missing proposals</t>
  </si>
  <si>
    <t xml:space="preserve">Poligraph, programmes 2027</t>
  </si>
  <si>
    <t xml:space="preserve">https://poligraph.fr/programmes</t>
  </si>
  <si>
    <t xml:space="preserve">Number of published measures per candidate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</si>
</sst>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quiproposequoi2027.fr/" TargetMode="External"/><Relationship Id="rId2" Type="http://schemas.openxmlformats.org/officeDocument/2006/relationships/hyperlink" Target="https://www.lenouveaupresident.com/programmes" TargetMode="External"/><Relationship Id="rId3" Type="http://schemas.openxmlformats.org/officeDocument/2006/relationships/hyperlink" Target="https://www.ifrap.org/comparateurs/presidentielles-2027" TargetMode="External"/><Relationship Id="rId4" Type="http://schemas.openxmlformats.org/officeDocument/2006/relationships/hyperlink" Target="https://poligraph.fr/programm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29</v>
      </c>
      <c r="C5" s="6"/>
      <c r="D5" s="7" t="s">
        <v>7</v>
      </c>
    </row>
    <row r="6" customFormat="false" ht="35.05" hidden="false" customHeight="false" outlineLevel="0" collapsed="false">
      <c r="A6" s="4" t="s">
        <v>8</v>
      </c>
      <c r="B6" s="5" t="n">
        <v>18</v>
      </c>
      <c r="C6" s="6"/>
      <c r="D6" s="7" t="s">
        <v>9</v>
      </c>
    </row>
    <row r="7" customFormat="false" ht="15" hidden="false" customHeight="false" outlineLevel="0" collapsed="false">
      <c r="A7" s="8" t="s">
        <v>10</v>
      </c>
      <c r="B7" s="9" t="n">
        <f aca="false">B5*B6</f>
        <v>522</v>
      </c>
      <c r="C7" s="6"/>
      <c r="D7" s="7" t="s">
        <v>11</v>
      </c>
    </row>
    <row r="8" customFormat="false" ht="15" hidden="false" customHeight="false" outlineLevel="0" collapsed="false">
      <c r="A8" s="4" t="s">
        <v>12</v>
      </c>
      <c r="B8" s="5" t="n">
        <v>160</v>
      </c>
      <c r="C8" s="10" t="n">
        <f aca="false">B8/$B$7</f>
        <v>0.306513409961686</v>
      </c>
      <c r="D8" s="7" t="s">
        <v>13</v>
      </c>
    </row>
    <row r="9" customFormat="false" ht="15" hidden="false" customHeight="false" outlineLevel="0" collapsed="false">
      <c r="A9" s="4" t="s">
        <v>14</v>
      </c>
      <c r="B9" s="5" t="n">
        <v>201</v>
      </c>
      <c r="C9" s="10" t="n">
        <f aca="false">B9/$B$7</f>
        <v>0.385057471264368</v>
      </c>
      <c r="D9" s="7" t="s">
        <v>15</v>
      </c>
    </row>
    <row r="10" customFormat="false" ht="15" hidden="false" customHeight="false" outlineLevel="0" collapsed="false">
      <c r="A10" s="4" t="s">
        <v>16</v>
      </c>
      <c r="B10" s="5" t="n">
        <v>161</v>
      </c>
      <c r="C10" s="10" t="n">
        <f aca="false">B10/$B$7</f>
        <v>0.308429118773946</v>
      </c>
      <c r="D10" s="7" t="s">
        <v>17</v>
      </c>
    </row>
    <row r="11" customFormat="false" ht="15" hidden="false" customHeight="false" outlineLevel="0" collapsed="false">
      <c r="A11" s="8" t="s">
        <v>18</v>
      </c>
      <c r="B11" s="9" t="n">
        <f aca="false">SUM(B8:B10)</f>
        <v>522</v>
      </c>
      <c r="C11" s="10" t="n">
        <f aca="false">B11/$B$7</f>
        <v>1</v>
      </c>
      <c r="D11" s="7" t="s">
        <v>19</v>
      </c>
    </row>
    <row r="12" customFormat="false" ht="15" hidden="false" customHeight="false" outlineLevel="0" collapsed="false">
      <c r="A12" s="4" t="s">
        <v>20</v>
      </c>
      <c r="B12" s="9" t="n">
        <f aca="false">B7-B11</f>
        <v>0</v>
      </c>
      <c r="C12" s="6"/>
      <c r="D12" s="7"/>
    </row>
    <row r="14" customFormat="false" ht="15" hidden="false" customHeight="false" outlineLevel="0" collapsed="false">
      <c r="A14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1.5" hidden="false" customHeight="tru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</row>
    <row r="5" customFormat="false" ht="60" hidden="false" customHeight="true" outlineLevel="0" collapsed="false">
      <c r="A5" s="7" t="s">
        <v>36</v>
      </c>
      <c r="B5" s="7" t="s">
        <v>37</v>
      </c>
      <c r="C5" s="7" t="s">
        <v>38</v>
      </c>
      <c r="D5" s="7" t="s">
        <v>39</v>
      </c>
      <c r="E5" s="11" t="n">
        <v>125</v>
      </c>
      <c r="F5" s="12"/>
      <c r="G5" s="12"/>
      <c r="H5" s="13"/>
      <c r="I5" s="12"/>
      <c r="J5" s="7"/>
      <c r="K5" s="7" t="s">
        <v>40</v>
      </c>
      <c r="L5" s="7" t="s">
        <v>41</v>
      </c>
    </row>
    <row r="6" customFormat="false" ht="60" hidden="false" customHeight="true" outlineLevel="0" collapsed="false">
      <c r="A6" s="7" t="s">
        <v>42</v>
      </c>
      <c r="B6" s="7" t="s">
        <v>43</v>
      </c>
      <c r="C6" s="7" t="s">
        <v>44</v>
      </c>
      <c r="D6" s="7" t="s">
        <v>45</v>
      </c>
      <c r="E6" s="12"/>
      <c r="F6" s="12"/>
      <c r="G6" s="12"/>
      <c r="H6" s="13"/>
      <c r="I6" s="11" t="n">
        <v>1600</v>
      </c>
      <c r="J6" s="7" t="s">
        <v>46</v>
      </c>
      <c r="K6" s="7" t="s">
        <v>47</v>
      </c>
      <c r="L6" s="7" t="s">
        <v>41</v>
      </c>
    </row>
    <row r="7" customFormat="false" ht="60" hidden="false" customHeight="true" outlineLevel="0" collapsed="false">
      <c r="A7" s="7" t="s">
        <v>48</v>
      </c>
      <c r="B7" s="7" t="s">
        <v>49</v>
      </c>
      <c r="C7" s="7" t="s">
        <v>50</v>
      </c>
      <c r="D7" s="7" t="s">
        <v>51</v>
      </c>
      <c r="E7" s="12"/>
      <c r="F7" s="12"/>
      <c r="G7" s="11" t="n">
        <v>50</v>
      </c>
      <c r="H7" s="14" t="n">
        <v>0.02</v>
      </c>
      <c r="I7" s="12"/>
      <c r="J7" s="7"/>
      <c r="K7" s="7" t="s">
        <v>52</v>
      </c>
      <c r="L7" s="7" t="s">
        <v>53</v>
      </c>
    </row>
    <row r="8" customFormat="false" ht="60" hidden="false" customHeight="true" outlineLevel="0" collapsed="false">
      <c r="A8" s="7" t="s">
        <v>54</v>
      </c>
      <c r="B8" s="7" t="s">
        <v>55</v>
      </c>
      <c r="C8" s="7" t="s">
        <v>56</v>
      </c>
      <c r="D8" s="7" t="s">
        <v>57</v>
      </c>
      <c r="E8" s="12"/>
      <c r="F8" s="11" t="n">
        <v>80</v>
      </c>
      <c r="G8" s="11" t="n">
        <v>40</v>
      </c>
      <c r="H8" s="13"/>
      <c r="I8" s="12"/>
      <c r="J8" s="7"/>
      <c r="K8" s="7"/>
      <c r="L8" s="7" t="s">
        <v>53</v>
      </c>
    </row>
    <row r="9" customFormat="false" ht="60" hidden="false" customHeight="true" outlineLevel="0" collapsed="false">
      <c r="A9" s="7" t="s">
        <v>58</v>
      </c>
      <c r="B9" s="7" t="s">
        <v>59</v>
      </c>
      <c r="C9" s="7" t="s">
        <v>60</v>
      </c>
      <c r="D9" s="7" t="s">
        <v>61</v>
      </c>
      <c r="E9" s="12"/>
      <c r="F9" s="12"/>
      <c r="G9" s="12"/>
      <c r="H9" s="13"/>
      <c r="I9" s="12"/>
      <c r="J9" s="7"/>
      <c r="K9" s="7"/>
      <c r="L9" s="7" t="s">
        <v>62</v>
      </c>
    </row>
    <row r="10" customFormat="false" ht="60" hidden="false" customHeight="true" outlineLevel="0" collapsed="false">
      <c r="A10" s="7" t="s">
        <v>63</v>
      </c>
      <c r="B10" s="7" t="s">
        <v>64</v>
      </c>
      <c r="C10" s="7" t="s">
        <v>65</v>
      </c>
      <c r="D10" s="7" t="s">
        <v>66</v>
      </c>
      <c r="E10" s="12"/>
      <c r="F10" s="12"/>
      <c r="G10" s="12"/>
      <c r="H10" s="13"/>
      <c r="I10" s="12"/>
      <c r="J10" s="7"/>
      <c r="K10" s="7"/>
      <c r="L10" s="7" t="s">
        <v>41</v>
      </c>
    </row>
    <row r="11" customFormat="false" ht="60" hidden="false" customHeight="true" outlineLevel="0" collapsed="false">
      <c r="A11" s="7" t="s">
        <v>67</v>
      </c>
      <c r="B11" s="7" t="s">
        <v>68</v>
      </c>
      <c r="C11" s="7" t="s">
        <v>69</v>
      </c>
      <c r="D11" s="7" t="s">
        <v>70</v>
      </c>
      <c r="E11" s="12"/>
      <c r="F11" s="12"/>
      <c r="G11" s="12"/>
      <c r="H11" s="13"/>
      <c r="I11" s="11" t="n">
        <v>2000</v>
      </c>
      <c r="J11" s="7" t="s">
        <v>71</v>
      </c>
      <c r="K11" s="7"/>
      <c r="L11" s="7" t="s">
        <v>41</v>
      </c>
    </row>
    <row r="12" customFormat="false" ht="60" hidden="false" customHeight="true" outlineLevel="0" collapsed="false">
      <c r="A12" s="7" t="s">
        <v>72</v>
      </c>
      <c r="B12" s="7" t="s">
        <v>73</v>
      </c>
      <c r="C12" s="7" t="s">
        <v>74</v>
      </c>
      <c r="D12" s="7" t="s">
        <v>75</v>
      </c>
      <c r="E12" s="12"/>
      <c r="F12" s="12"/>
      <c r="G12" s="12"/>
      <c r="H12" s="13"/>
      <c r="I12" s="11" t="n">
        <v>1700</v>
      </c>
      <c r="J12" s="7" t="s">
        <v>46</v>
      </c>
      <c r="K12" s="7" t="s">
        <v>47</v>
      </c>
      <c r="L12" s="7" t="s">
        <v>41</v>
      </c>
    </row>
    <row r="13" customFormat="false" ht="60" hidden="false" customHeight="true" outlineLevel="0" collapsed="false">
      <c r="A13" s="7" t="s">
        <v>76</v>
      </c>
      <c r="B13" s="7" t="s">
        <v>77</v>
      </c>
      <c r="C13" s="7" t="s">
        <v>78</v>
      </c>
      <c r="D13" s="7" t="s">
        <v>79</v>
      </c>
      <c r="E13" s="11" t="n">
        <v>60</v>
      </c>
      <c r="F13" s="12"/>
      <c r="G13" s="12"/>
      <c r="H13" s="13"/>
      <c r="I13" s="12"/>
      <c r="J13" s="7"/>
      <c r="K13" s="7"/>
      <c r="L13" s="7" t="s">
        <v>80</v>
      </c>
    </row>
    <row r="15" customFormat="false" ht="15" hidden="false" customHeight="false" outlineLevel="0" collapsed="false">
      <c r="A15" s="15" t="s">
        <v>81</v>
      </c>
    </row>
    <row r="16" customFormat="false" ht="15" hidden="false" customHeight="false" outlineLevel="0" collapsed="false">
      <c r="A16" s="16" t="s">
        <v>82</v>
      </c>
      <c r="B16" s="16" t="n">
        <f aca="false">SUMPRODUCT(--((E5:E13&lt;&gt;"")+(F5:F13&lt;&gt;"")+(G5:G13&lt;&gt;"")&gt;0))</f>
        <v>4</v>
      </c>
    </row>
    <row r="17" customFormat="false" ht="15" hidden="false" customHeight="false" outlineLevel="0" collapsed="false">
      <c r="A17" s="16" t="s">
        <v>83</v>
      </c>
      <c r="B17" s="16" t="n">
        <f aca="false">COUNT(I5:I13)</f>
        <v>3</v>
      </c>
    </row>
    <row r="18" customFormat="false" ht="15" hidden="false" customHeight="false" outlineLevel="0" collapsed="false">
      <c r="A18" s="16" t="s">
        <v>84</v>
      </c>
      <c r="B18" s="16" t="n">
        <f aca="false">COUNTA(K5:K13)</f>
        <v>4</v>
      </c>
    </row>
    <row r="20" customFormat="false" ht="15" hidden="false" customHeight="false" outlineLevel="0" collapsed="false">
      <c r="A20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86</v>
      </c>
    </row>
    <row r="3" customFormat="false" ht="31.5" hidden="false" customHeight="true" outlineLevel="0" collapsed="false">
      <c r="A3" s="3" t="s">
        <v>87</v>
      </c>
      <c r="B3" s="3" t="s">
        <v>88</v>
      </c>
      <c r="C3" s="3" t="s">
        <v>89</v>
      </c>
    </row>
    <row r="4" customFormat="false" ht="57.75" hidden="false" customHeight="true" outlineLevel="0" collapsed="false">
      <c r="A4" s="7" t="s">
        <v>90</v>
      </c>
      <c r="B4" s="7" t="s">
        <v>91</v>
      </c>
      <c r="C4" s="7" t="s">
        <v>92</v>
      </c>
    </row>
    <row r="5" customFormat="false" ht="57.75" hidden="false" customHeight="true" outlineLevel="0" collapsed="false">
      <c r="A5" s="7" t="s">
        <v>93</v>
      </c>
      <c r="B5" s="7" t="s">
        <v>94</v>
      </c>
      <c r="C5" s="7" t="s">
        <v>95</v>
      </c>
    </row>
    <row r="6" customFormat="false" ht="57.75" hidden="false" customHeight="true" outlineLevel="0" collapsed="false">
      <c r="A6" s="7" t="s">
        <v>96</v>
      </c>
      <c r="B6" s="7" t="s">
        <v>97</v>
      </c>
      <c r="C6" s="7" t="s">
        <v>98</v>
      </c>
    </row>
    <row r="8" customFormat="false" ht="48" hidden="false" customHeight="true" outlineLevel="0" collapsed="false">
      <c r="A8" s="17" t="s">
        <v>99</v>
      </c>
      <c r="B8" s="17"/>
      <c r="C8" s="17"/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5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100</v>
      </c>
    </row>
    <row r="3" customFormat="false" ht="31.5" hidden="false" customHeight="true" outlineLevel="0" collapsed="false">
      <c r="A3" s="3" t="s">
        <v>101</v>
      </c>
      <c r="B3" s="3" t="s">
        <v>102</v>
      </c>
      <c r="C3" s="3" t="s">
        <v>103</v>
      </c>
    </row>
    <row r="4" customFormat="false" ht="15" hidden="false" customHeight="false" outlineLevel="0" collapsed="false">
      <c r="A4" s="4" t="s">
        <v>104</v>
      </c>
      <c r="B4" s="18" t="s">
        <v>105</v>
      </c>
      <c r="C4" s="4" t="s">
        <v>106</v>
      </c>
    </row>
    <row r="5" customFormat="false" ht="15" hidden="false" customHeight="false" outlineLevel="0" collapsed="false">
      <c r="A5" s="4" t="s">
        <v>107</v>
      </c>
      <c r="B5" s="18" t="s">
        <v>108</v>
      </c>
      <c r="C5" s="4" t="s">
        <v>109</v>
      </c>
    </row>
    <row r="6" customFormat="false" ht="15" hidden="false" customHeight="false" outlineLevel="0" collapsed="false">
      <c r="A6" s="4" t="s">
        <v>110</v>
      </c>
      <c r="B6" s="18" t="s">
        <v>111</v>
      </c>
      <c r="C6" s="4" t="s">
        <v>112</v>
      </c>
    </row>
    <row r="7" customFormat="false" ht="15" hidden="false" customHeight="false" outlineLevel="0" collapsed="false">
      <c r="A7" s="4" t="s">
        <v>113</v>
      </c>
      <c r="B7" s="18" t="s">
        <v>114</v>
      </c>
      <c r="C7" s="4" t="s">
        <v>115</v>
      </c>
    </row>
  </sheetData>
  <hyperlinks>
    <hyperlink ref="B4" r:id="rId1" display="https://quiproposequoi2027.fr/"/>
    <hyperlink ref="B5" r:id="rId2" display="https://www.lenouveaupresident.com/programmes"/>
    <hyperlink ref="B6" r:id="rId3" display="https://www.ifrap.org/comparateurs/presidentielles-2027"/>
    <hyperlink ref="B7" r:id="rId4" display="https://poligraph.fr/programm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2026-10-01T03:24:17Z</dcterms:created>
  <dc:creator>openpyxl</dc:creator>
  <dc:description/>
  <dc:language>en-US</dc:language>
  <cp:lastModifiedBy/>
  <dcterms:modified xsi:type="dcterms:W3CDTF">2026-10-01T03:24:17Z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