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Manifestos 2027" sheetId="2" state="visible" r:id="rId4"/>
    <sheet name="Elections" sheetId="3" state="visible" r:id="rId5"/>
    <sheet name="Votes" sheetId="4" state="visible" r:id="rId6"/>
    <sheet name="Positions" sheetId="5" state="visible" r:id="rId7"/>
    <sheet name="Composites" sheetId="6" state="visible" r:id="rId8"/>
    <sheet name="Fiscal" sheetId="7" state="visible" r:id="rId9"/>
    <sheet name="Income survey" sheetId="8" state="visible" r:id="rId10"/>
    <sheet name="Coefficients" sheetId="9" state="visible" r:id="rId11"/>
    <sheet name="Estimation da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9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0" authorId="0">
      <text>
        <r>
          <rPr>
            <sz val="10"/>
            <rFont val="Arial"/>
            <family val="2"/>
          </rPr>
          <t xml:space="preserve">Not in the model specification: coefficient set to 0.</t>
        </r>
      </text>
    </comment>
    <comment ref="D11" authorId="0">
      <text>
        <r>
          <rPr>
            <sz val="10"/>
            <rFont val="Arial"/>
            <family val="2"/>
          </rPr>
          <t xml:space="preserve">Not in the model specification: coefficient set to 0.</t>
        </r>
      </text>
    </comment>
    <comment ref="D12" authorId="0">
      <text>
        <r>
          <rPr>
            <sz val="10"/>
            <rFont val="Arial"/>
            <family val="2"/>
          </rPr>
          <t xml:space="preserve">Not in the model specification: coefficient set to 0.</t>
        </r>
      </text>
    </comment>
    <comment ref="D13" authorId="0">
      <text>
        <r>
          <rPr>
            <sz val="10"/>
            <rFont val="Arial"/>
            <family val="2"/>
          </rPr>
          <t xml:space="preserve">Not in the model specification: coefficient set to 0.</t>
        </r>
      </text>
    </comment>
    <comment ref="D14" authorId="0">
      <text>
        <r>
          <rPr>
            <sz val="10"/>
            <rFont val="Arial"/>
            <family val="2"/>
          </rPr>
          <t xml:space="preserve">Not in the model specification: coefficient set to 0.</t>
        </r>
      </text>
    </comment>
  </commentList>
</comments>
</file>

<file path=xl/sharedStrings.xml><?xml version="1.0" encoding="utf-8"?>
<sst xmlns="http://schemas.openxmlformats.org/spreadsheetml/2006/main" count="1539" uniqueCount="341">
  <si>
    <t xml:space="preserve">French elections nested logit: estimation data and 2027 manifestos</t>
  </si>
  <si>
    <t xml:space="preserve">What this workbook contains</t>
  </si>
  <si>
    <t xml:space="preserve">Elections</t>
  </si>
  <si>
    <t xml:space="preserve">Seven national first-round elections 2017-2024: registered voters, valid votes, outside option (abstention, blank, null).</t>
  </si>
  <si>
    <t xml:space="preserve">Votes</t>
  </si>
  <si>
    <t xml:space="preserve">Votes for each scored party or list (official results) and the shares used in the regression, computed by formula.</t>
  </si>
  <si>
    <t xml:space="preserve">Positions</t>
  </si>
  <si>
    <t xml:space="preserve">Party characteristics 0-10 (Chapel Hill Expert Survey 2019 / 2024 where available, constructed codings otherwise).</t>
  </si>
  <si>
    <t xml:space="preserve">Composites</t>
  </si>
  <si>
    <t xml:space="preserve">Weights used to build Ensemble, NUPES and NFP from their member parties.</t>
  </si>
  <si>
    <t xml:space="preserve">Fiscal</t>
  </si>
  <si>
    <t xml:space="preserve">Promised fiscal gain by income group (0 = large loss, 5 = neutral, 10 = large gain), coded from manifestos.</t>
  </si>
  <si>
    <t xml:space="preserve">Income survey</t>
  </si>
  <si>
    <t xml:space="preserve">Vote by household income (Ipsos post-election surveys) used for the income-group coefficients.</t>
  </si>
  <si>
    <t xml:space="preserve">Estimation data</t>
  </si>
  <si>
    <t xml:space="preserve">The 60 observations as entered in the regression: characteristics, dependent variable, within-nest share, instruments, election dummies; fitted values and residuals by formula.</t>
  </si>
  <si>
    <t xml:space="preserve">Coefficients</t>
  </si>
  <si>
    <t xml:space="preserve">Estimated coefficients (2SLS, robust s.e.), election fixed effects, presidential intercept, party factors X_j (by formula from the residuals), income-group coefficients.</t>
  </si>
  <si>
    <t xml:space="preserve">Manifestos 2027</t>
  </si>
  <si>
    <t xml:space="preserve">INPUT SHEET: one row per 2027 candidate. Yellow cells are inputs. The sheet predicts the first round with the national nested logit.</t>
  </si>
  <si>
    <t xml:space="preserve">Model</t>
  </si>
  <si>
    <t xml:space="preserve">Equation</t>
  </si>
  <si>
    <t xml:space="preserve">ln s_jt - ln s_0t = sum_k beta_k (x_jk - 5) + sigma ln s_j|g,t + lambda_t + xi_jt ; xi_jt = X_j + eps_jt</t>
  </si>
  <si>
    <t xml:space="preserve">Specification</t>
  </si>
  <si>
    <t xml:space="preserve">Characteristics: tax cuts, immigration control, spending control, European integration, support for Israel. Nests: Left / Centre / Right. Estimator: 2SLS, within-nest share instrumented by the number of rivals in the nest and the sum of their characteristics.</t>
  </si>
  <si>
    <t xml:space="preserve">Source of the estimates</t>
  </si>
  <si>
    <t xml:space="preserve">Estimated in logit2027v4.html (default specification). Excel does not run the 2SLS itself: the coefficients are stored as values; everything downstream (fitted values, residuals, party factors, 2027 prediction) is recalculated by formula.</t>
  </si>
  <si>
    <t xml:space="preserve">Colour code</t>
  </si>
  <si>
    <t xml:space="preserve">Blue text</t>
  </si>
  <si>
    <t xml:space="preserve">Hard-coded input data (results, scores, estimates).</t>
  </si>
  <si>
    <t xml:space="preserve">Black text</t>
  </si>
  <si>
    <t xml:space="preserve">Formulas.</t>
  </si>
  <si>
    <t xml:space="preserve">Green text</t>
  </si>
  <si>
    <t xml:space="preserve">Links to another sheet.</t>
  </si>
  <si>
    <t xml:space="preserve">Yellow fill</t>
  </si>
  <si>
    <t xml:space="preserve">Cells you are expected to edit (2027 manifestos, settings).</t>
  </si>
  <si>
    <t xml:space="preserve">Manifesto inputs</t>
  </si>
  <si>
    <t xml:space="preserve">The 2027 rows are pre-filled with each party's 2024 positions (the "Load a 2027 field" default of the HTML page). Replace them with your own manifesto scores, or copy the values from the HTML page's "Export manifestos (JSON)" file.</t>
  </si>
  <si>
    <t xml:space="preserve">Note</t>
  </si>
  <si>
    <t xml:space="preserve">The workbook reproduces the national-model prediction of the HTML page with the party factor from presidential elections. The income-group prediction and the simulation ranges are only in the HTML page.</t>
  </si>
  <si>
    <t xml:space="preserve">2027 presidential first round: manifesto inputs and prediction</t>
  </si>
  <si>
    <t xml:space="preserve">Edit the yellow cells. One row per candidate (up to 20); leave the name empty to drop a row. Party factor code: one of the codes in Coefficients!A37:A50, or NEW for a new party (X_j = 0).</t>
  </si>
  <si>
    <t xml:space="preserve">Settings</t>
  </si>
  <si>
    <t xml:space="preserve">Registered voters</t>
  </si>
  <si>
    <t xml:space="preserve">Default: registered at the 2024 legislative election.</t>
  </si>
  <si>
    <t xml:space="preserve">Minor unlisted candidates (share of valid votes)</t>
  </si>
  <si>
    <t xml:space="preserve">Default: average of 2017 and 2022.</t>
  </si>
  <si>
    <t xml:space="preserve">sigma</t>
  </si>
  <si>
    <t xml:space="preserve">lambda_P presidential intercept</t>
  </si>
  <si>
    <t xml:space="preserve">gamma, promised fiscal gain</t>
  </si>
  <si>
    <t xml:space="preserve">beta per point →</t>
  </si>
  <si>
    <t xml:space="preserve">Income weights →</t>
  </si>
  <si>
    <t xml:space="preserve">weights →</t>
  </si>
  <si>
    <t xml:space="preserve">Candidate</t>
  </si>
  <si>
    <t xml:space="preserve">Party factor code</t>
  </si>
  <si>
    <t xml:space="preserve">Nest (L/C/R)</t>
  </si>
  <si>
    <t xml:space="preserve">Key pledges</t>
  </si>
  <si>
    <t xml:space="preserve">Tax cuts</t>
  </si>
  <si>
    <t xml:space="preserve">Immigration control</t>
  </si>
  <si>
    <t xml:space="preserve">Spending control</t>
  </si>
  <si>
    <t xml:space="preserve">European integration</t>
  </si>
  <si>
    <t xml:space="preserve">Support for Israel</t>
  </si>
  <si>
    <t xml:space="preserve">Redistribution</t>
  </si>
  <si>
    <t xml:space="preserve">Law and order</t>
  </si>
  <si>
    <t xml:space="preserve">Climate action</t>
  </si>
  <si>
    <t xml:space="preserve">Other environment</t>
  </si>
  <si>
    <t xml:space="preserve">Defence vs Russia</t>
  </si>
  <si>
    <t xml:space="preserve">Fiscal gain: poor</t>
  </si>
  <si>
    <t xml:space="preserve">Fiscal gain: middle</t>
  </si>
  <si>
    <t xml:space="preserve">Fiscal gain: rich</t>
  </si>
  <si>
    <t xml:space="preserve">Candidate effect (shift)</t>
  </si>
  <si>
    <t xml:space="preserve">Coded fiscal: poor</t>
  </si>
  <si>
    <t xml:space="preserve">Coded fiscal: middle</t>
  </si>
  <si>
    <t xml:space="preserve">Coded fiscal: rich</t>
  </si>
  <si>
    <t xml:space="preserve">Positions sum beta(x-5)</t>
  </si>
  <si>
    <t xml:space="preserve">Fiscal change gamma*w*(f-coded)</t>
  </si>
  <si>
    <t xml:space="preserve">Party factor X_j</t>
  </si>
  <si>
    <t xml:space="preserve">Utility U</t>
  </si>
  <si>
    <t xml:space="preserve">exp(U/(1-sigma))</t>
  </si>
  <si>
    <t xml:space="preserve">Share of registered</t>
  </si>
  <si>
    <t xml:space="preserve">Predicted % of valid votes</t>
  </si>
  <si>
    <t xml:space="preserve">Predicted votes</t>
  </si>
  <si>
    <t xml:space="preserve">Rank</t>
  </si>
  <si>
    <t xml:space="preserve">LO / NPA</t>
  </si>
  <si>
    <t xml:space="preserve">LONPA</t>
  </si>
  <si>
    <t xml:space="preserve">L</t>
  </si>
  <si>
    <t xml:space="preserve">La France insoumise</t>
  </si>
  <si>
    <t xml:space="preserve">LFI</t>
  </si>
  <si>
    <t xml:space="preserve">PCF</t>
  </si>
  <si>
    <t xml:space="preserve">Les Écologistes</t>
  </si>
  <si>
    <t xml:space="preserve">EELV</t>
  </si>
  <si>
    <t xml:space="preserve">PS / Place publique</t>
  </si>
  <si>
    <t xml:space="preserve">PS</t>
  </si>
  <si>
    <t xml:space="preserve">Ensemble</t>
  </si>
  <si>
    <t xml:space="preserve">ENS</t>
  </si>
  <si>
    <t xml:space="preserve">C</t>
  </si>
  <si>
    <t xml:space="preserve">LR</t>
  </si>
  <si>
    <t xml:space="preserve">R</t>
  </si>
  <si>
    <t xml:space="preserve">Debout la France</t>
  </si>
  <si>
    <t xml:space="preserve">DLF</t>
  </si>
  <si>
    <t xml:space="preserve">RN</t>
  </si>
  <si>
    <t xml:space="preserve">Reconquête</t>
  </si>
  <si>
    <t xml:space="preserve">REC</t>
  </si>
  <si>
    <t xml:space="preserve">Nested logit aggregation</t>
  </si>
  <si>
    <t xml:space="preserve">Nest</t>
  </si>
  <si>
    <t xml:space="preserve">Name</t>
  </si>
  <si>
    <t xml:space="preserve">D_g = sum exp(U/(1-sigma))</t>
  </si>
  <si>
    <t xml:space="preserve">D_g^(1-sigma)</t>
  </si>
  <si>
    <t xml:space="preserve">Left</t>
  </si>
  <si>
    <t xml:space="preserve">Centre</t>
  </si>
  <si>
    <t xml:space="preserve">Right</t>
  </si>
  <si>
    <t xml:space="preserve">Denominator 1 + sum D_g^(1-sigma)</t>
  </si>
  <si>
    <t xml:space="preserve">Listed candidates, share of registered</t>
  </si>
  <si>
    <t xml:space="preserve">Minor candidates, share of registered (before rescaling)</t>
  </si>
  <si>
    <t xml:space="preserve">Rescaling factor 1 + minor</t>
  </si>
  <si>
    <t xml:space="preserve">Turnout: valid votes / registered</t>
  </si>
  <si>
    <t xml:space="preserve">Abstention, blank, null / registered</t>
  </si>
  <si>
    <t xml:space="preserve">Predicted first place</t>
  </si>
  <si>
    <t xml:space="preserve">Predicted second place</t>
  </si>
  <si>
    <t xml:space="preserve">Share of listed candidate j (of registered) = exp(U_j/(1-sigma)) * D_g^(-sigma) / (1 + sum_g D_g^(1-sigma)), then rescaled for minor candidates. Point prediction of the national model; the HTML page adds simulation ranges and the income-group version.</t>
  </si>
  <si>
    <t xml:space="preserve">Elections (first rounds)</t>
  </si>
  <si>
    <t xml:space="preserve">Official Interior Ministry / Conseil constitutionnel results. Outside option = abstention + blank + null.</t>
  </si>
  <si>
    <t xml:space="preserve">Election</t>
  </si>
  <si>
    <t xml:space="preserve">Label</t>
  </si>
  <si>
    <t xml:space="preserve">Type</t>
  </si>
  <si>
    <t xml:space="preserve">Positions period</t>
  </si>
  <si>
    <t xml:space="preserve">Registered</t>
  </si>
  <si>
    <t xml:space="preserve">Valid votes</t>
  </si>
  <si>
    <t xml:space="preserve">Votes for listed parties</t>
  </si>
  <si>
    <t xml:space="preserve">Valid votes for unlisted candidates</t>
  </si>
  <si>
    <t xml:space="preserve">Outside share s0</t>
  </si>
  <si>
    <t xml:space="preserve">P2017</t>
  </si>
  <si>
    <t xml:space="preserve">Presidential 2017, round 1</t>
  </si>
  <si>
    <t xml:space="preserve">P</t>
  </si>
  <si>
    <t xml:space="preserve">2019</t>
  </si>
  <si>
    <t xml:space="preserve">L2017</t>
  </si>
  <si>
    <t xml:space="preserve">Legislative 2017, round 1</t>
  </si>
  <si>
    <t xml:space="preserve">E2019</t>
  </si>
  <si>
    <t xml:space="preserve">European 2019</t>
  </si>
  <si>
    <t xml:space="preserve">E</t>
  </si>
  <si>
    <t xml:space="preserve">P2022</t>
  </si>
  <si>
    <t xml:space="preserve">Presidential 2022, round 1</t>
  </si>
  <si>
    <t xml:space="preserve">2024</t>
  </si>
  <si>
    <t xml:space="preserve">L2022</t>
  </si>
  <si>
    <t xml:space="preserve">Legislative 2022, round 1</t>
  </si>
  <si>
    <t xml:space="preserve">E2024</t>
  </si>
  <si>
    <t xml:space="preserve">European 2024</t>
  </si>
  <si>
    <t xml:space="preserve">L2024</t>
  </si>
  <si>
    <t xml:space="preserve">Legislative 2024, round 1</t>
  </si>
  <si>
    <t xml:space="preserve">Votes by party and election</t>
  </si>
  <si>
    <t xml:space="preserve">Shares are of registered voters. Nest: L = Left, C = Centre, R = Right.</t>
  </si>
  <si>
    <t xml:space="preserve">Party</t>
  </si>
  <si>
    <t xml:space="preserve">Party name</t>
  </si>
  <si>
    <t xml:space="preserve">Share s_j</t>
  </si>
  <si>
    <t xml:space="preserve">ln(s_j/s0)</t>
  </si>
  <si>
    <t xml:space="preserve">Nest share</t>
  </si>
  <si>
    <t xml:space="preserve">ln s_j|g</t>
  </si>
  <si>
    <t xml:space="preserve">UPR</t>
  </si>
  <si>
    <t xml:space="preserve">UPR / Patriotes</t>
  </si>
  <si>
    <t xml:space="preserve">REM 6,391,269 + MoDem 932,227 (MoDem: check)</t>
  </si>
  <si>
    <t xml:space="preserve">LR 3,573,427 + UDI 687,225 (UDI: check)</t>
  </si>
  <si>
    <t xml:space="preserve">check</t>
  </si>
  <si>
    <t xml:space="preserve">EXG, check</t>
  </si>
  <si>
    <t xml:space="preserve">PS–Place publique list</t>
  </si>
  <si>
    <t xml:space="preserve">UPR 265,469 + Patriotes 147,140</t>
  </si>
  <si>
    <t xml:space="preserve">NUPES</t>
  </si>
  <si>
    <t xml:space="preserve">NUPES (2022)</t>
  </si>
  <si>
    <t xml:space="preserve">LR 2,370,440 + UDI 198,062</t>
  </si>
  <si>
    <t xml:space="preserve">DXG</t>
  </si>
  <si>
    <t xml:space="preserve">UPR-Frexit 253,036 + Patriotes 229,190</t>
  </si>
  <si>
    <t xml:space="preserve">LO 121,281 + NPA-R 37,434</t>
  </si>
  <si>
    <t xml:space="preserve">NFP</t>
  </si>
  <si>
    <t xml:space="preserve">Nouveau Front populaire</t>
  </si>
  <si>
    <t xml:space="preserve">ENS 6,425,707 + HOR 231,667</t>
  </si>
  <si>
    <t xml:space="preserve">UDR</t>
  </si>
  <si>
    <t xml:space="preserve">UDR (Ciotti)</t>
  </si>
  <si>
    <t xml:space="preserve">UXD nuance</t>
  </si>
  <si>
    <t xml:space="preserve">EXG</t>
  </si>
  <si>
    <t xml:space="preserve">Party characteristics (0-10)</t>
  </si>
  <si>
    <t xml:space="preserve">Source flags: E19 / E24 = Chapel Hill Expert Survey 2019 / 2024 mean (rescaled where needed); C = constructed coding.</t>
  </si>
  <si>
    <t xml:space="preserve">Period</t>
  </si>
  <si>
    <t xml:space="preserve">Source: Tax cuts</t>
  </si>
  <si>
    <t xml:space="preserve">Source: Immigration control</t>
  </si>
  <si>
    <t xml:space="preserve">Source: Spending control</t>
  </si>
  <si>
    <t xml:space="preserve">Source: European integration</t>
  </si>
  <si>
    <t xml:space="preserve">Source: Support for Israel</t>
  </si>
  <si>
    <t xml:space="preserve">Source: Redistribution</t>
  </si>
  <si>
    <t xml:space="preserve">Source: Law and order</t>
  </si>
  <si>
    <t xml:space="preserve">Source: Climate action</t>
  </si>
  <si>
    <t xml:space="preserve">Source: Other environment</t>
  </si>
  <si>
    <t xml:space="preserve">Source: Defence vs Russia</t>
  </si>
  <si>
    <t xml:space="preserve">E24</t>
  </si>
  <si>
    <t xml:space="preserve">RE</t>
  </si>
  <si>
    <t xml:space="preserve">Renaissance</t>
  </si>
  <si>
    <t xml:space="preserve">MoDem</t>
  </si>
  <si>
    <t xml:space="preserve">HOR</t>
  </si>
  <si>
    <t xml:space="preserve">Horizons</t>
  </si>
  <si>
    <t xml:space="preserve">E19</t>
  </si>
  <si>
    <t xml:space="preserve">Scale</t>
  </si>
  <si>
    <t xml:space="preserve">Code</t>
  </si>
  <si>
    <t xml:space="preserve">Characteristic</t>
  </si>
  <si>
    <t xml:space="preserve">0 means</t>
  </si>
  <si>
    <t xml:space="preserve">10 means</t>
  </si>
  <si>
    <t xml:space="preserve">Source</t>
  </si>
  <si>
    <t xml:space="preserve">tax</t>
  </si>
  <si>
    <t xml:space="preserve">Tax increases</t>
  </si>
  <si>
    <t xml:space="preserve">Strong tax cuts</t>
  </si>
  <si>
    <t xml:space="preserve">CHES spendvtax</t>
  </si>
  <si>
    <t xml:space="preserve">immig</t>
  </si>
  <si>
    <t xml:space="preserve">More immigration</t>
  </si>
  <si>
    <t xml:space="preserve">Remigration</t>
  </si>
  <si>
    <t xml:space="preserve">CHES immigrate_policy</t>
  </si>
  <si>
    <t xml:space="preserve">spend</t>
  </si>
  <si>
    <t xml:space="preserve">Large spending rise</t>
  </si>
  <si>
    <t xml:space="preserve">Strong control</t>
  </si>
  <si>
    <t xml:space="preserve">Constructed from Institut Montaigne costings</t>
  </si>
  <si>
    <t xml:space="preserve">eu</t>
  </si>
  <si>
    <t xml:space="preserve">Frexit</t>
  </si>
  <si>
    <t xml:space="preserve">Federal union</t>
  </si>
  <si>
    <t xml:space="preserve">CHES eu_position, (x−1)/6×10</t>
  </si>
  <si>
    <t xml:space="preserve">israel</t>
  </si>
  <si>
    <t xml:space="preserve">Strongly critical</t>
  </si>
  <si>
    <t xml:space="preserve">Strong support</t>
  </si>
  <si>
    <t xml:space="preserve">Constructed from statements and votes</t>
  </si>
  <si>
    <t xml:space="preserve">redis</t>
  </si>
  <si>
    <t xml:space="preserve">Against</t>
  </si>
  <si>
    <t xml:space="preserve">Strongly for</t>
  </si>
  <si>
    <t xml:space="preserve">10 − CHES redistribution</t>
  </si>
  <si>
    <t xml:space="preserve">order</t>
  </si>
  <si>
    <t xml:space="preserve">Civil liberties</t>
  </si>
  <si>
    <t xml:space="preserve">Tough on crime</t>
  </si>
  <si>
    <t xml:space="preserve">CHES civlib_laworder</t>
  </si>
  <si>
    <t xml:space="preserve">climate</t>
  </si>
  <si>
    <t xml:space="preserve">Growth over climate policy</t>
  </si>
  <si>
    <t xml:space="preserve">Climate policy first</t>
  </si>
  <si>
    <t xml:space="preserve">10 − CHES climate_change (2024 wave; carried back to 2017–2019)</t>
  </si>
  <si>
    <t xml:space="preserve">env</t>
  </si>
  <si>
    <t xml:space="preserve">Growth first</t>
  </si>
  <si>
    <t xml:space="preserve">Environmental protection first</t>
  </si>
  <si>
    <t xml:space="preserve">10 − CHES environment (environmental sustainability)</t>
  </si>
  <si>
    <t xml:space="preserve">ukr</t>
  </si>
  <si>
    <t xml:space="preserve">Trade with Russia</t>
  </si>
  <si>
    <t xml:space="preserve">Invest in defence</t>
  </si>
  <si>
    <t xml:space="preserve">10 − CHES eu_russia (2024 wave)</t>
  </si>
  <si>
    <t xml:space="preserve">Coalition weights</t>
  </si>
  <si>
    <t xml:space="preserve">Ensemble mixes Renaissance, MoDem and Horizons; NUPES and NFP mix their parties by number of candidacies.</t>
  </si>
  <si>
    <t xml:space="preserve">Coalition</t>
  </si>
  <si>
    <t xml:space="preserve">Member</t>
  </si>
  <si>
    <t xml:space="preserve">Weight</t>
  </si>
  <si>
    <t xml:space="preserve">Promised fiscal gain by income group</t>
  </si>
  <si>
    <t xml:space="preserve">0 = large loss, 5 = neutral, 10 = large gain. Coded from manifestos (direction reliable, magnitudes are judgement). Coalitions = weighted mix of members (2024 weights).</t>
  </si>
  <si>
    <t xml:space="preserve">Poor (&lt; EUR 1,250/month)</t>
  </si>
  <si>
    <t xml:space="preserve">Middle (EUR 1,250-3,000)</t>
  </si>
  <si>
    <t xml:space="preserve">Rich (&gt; EUR 3,000)</t>
  </si>
  <si>
    <t xml:space="preserve">Main measures behind the coding</t>
  </si>
  <si>
    <t xml:space="preserve">Heavy taxation of capital and high incomes; large minimum-wage and benefit rises</t>
  </si>
  <si>
    <t xml:space="preserve">14-bracket income tax, cuts below ~€4,000 net/month, ISF restored, flat tax abolished; minimum wage €1,600 net</t>
  </si>
  <si>
    <t xml:space="preserve">Similar to LFI; higher minimum wage and pensions</t>
  </si>
  <si>
    <t xml:space="preserve">Climate ISF, higher inheritance tax on large estates; targeted transfers</t>
  </si>
  <si>
    <t xml:space="preserve">ISF restored, more progressive CSG; moderate transfers</t>
  </si>
  <si>
    <t xml:space="preserve">Middle-class income tax cut (~€2bn), no ISF, flat tax kept</t>
  </si>
  <si>
    <t xml:space="preserve">Close to Renaissance, more redistributive rhetoric</t>
  </si>
  <si>
    <t xml:space="preserve">Lower taxes on work and capital, spending cuts</t>
  </si>
  <si>
    <t xml:space="preserve">Payroll and middle-class tax cuts, lower inheritance tax</t>
  </si>
  <si>
    <t xml:space="preserve">Tax cuts close to LR/RN</t>
  </si>
  <si>
    <t xml:space="preserve">Mixed: VAT and energy cuts, some wealth taxation</t>
  </si>
  <si>
    <t xml:space="preserve">VAT on energy 20%→5.5%, full family share from 2nd child, youth exemption; IFI replaced by a tax on financial wealth</t>
  </si>
  <si>
    <t xml:space="preserve">Broad tax cuts incl. inheritance; spending cuts on benefits for foreigners</t>
  </si>
  <si>
    <t xml:space="preserve">Sovereigntist; mixed fiscal promises</t>
  </si>
  <si>
    <t xml:space="preserve">weighted mix of members</t>
  </si>
  <si>
    <t xml:space="preserve">Vote by household income (% of valid votes) and abstention (%)</t>
  </si>
  <si>
    <t xml:space="preserve">Ipsos post-election surveys. Legislative 2024 abstention by income is imputed from the European 2024 pattern.</t>
  </si>
  <si>
    <t xml:space="preserve">Column</t>
  </si>
  <si>
    <t xml:space="preserve">Poor</t>
  </si>
  <si>
    <t xml:space="preserve">Middle</t>
  </si>
  <si>
    <t xml:space="preserve">Rich</t>
  </si>
  <si>
    <t xml:space="preserve">Ipsos–Sopra Steria, 6–9 April 2022, n=4,000</t>
  </si>
  <si>
    <t xml:space="preserve">LAS</t>
  </si>
  <si>
    <t xml:space="preserve">Abstention</t>
  </si>
  <si>
    <t xml:space="preserve">Ipsos, 6–7 June 2024, n=8,923</t>
  </si>
  <si>
    <t xml:space="preserve">OTH</t>
  </si>
  <si>
    <t xml:space="preserve">Ipsos-Talan, 27–28 June 2024, n=10,286</t>
  </si>
  <si>
    <t xml:space="preserve">RNA</t>
  </si>
  <si>
    <t xml:space="preserve">Abstention (imputed)</t>
  </si>
  <si>
    <t xml:space="preserve">Population weights</t>
  </si>
  <si>
    <t xml:space="preserve">Poor (&lt; €1,250/month)</t>
  </si>
  <si>
    <t xml:space="preserve">Middle (€1,250–3,000)</t>
  </si>
  <si>
    <t xml:space="preserve">Rich (&gt; €3,000)</t>
  </si>
  <si>
    <t xml:space="preserve">Estimated coefficients (2SLS, robust HC1 standard errors)</t>
  </si>
  <si>
    <t xml:space="preserve">Blue values come from the estimation in logit2027v4.html; black cells are formulas. Characteristics are centred at 5.</t>
  </si>
  <si>
    <t xml:space="preserve">In model</t>
  </si>
  <si>
    <t xml:space="preserve">beta</t>
  </si>
  <si>
    <t xml:space="preserve">s.e.</t>
  </si>
  <si>
    <t xml:space="preserve">t</t>
  </si>
  <si>
    <t xml:space="preserve">Within-nest per point beta/(1-sigma)</t>
  </si>
  <si>
    <t xml:space="preserve">Yes</t>
  </si>
  <si>
    <t xml:space="preserve">No</t>
  </si>
  <si>
    <t xml:space="preserve">sigma (within-nest correlation)</t>
  </si>
  <si>
    <t xml:space="preserve">gamma (own promised fiscal gain, income model)</t>
  </si>
  <si>
    <t xml:space="preserve">Candidate shock s.d. (eps)</t>
  </si>
  <si>
    <t xml:space="preserve">residual spread net of party factors</t>
  </si>
  <si>
    <t xml:space="preserve">Fixed effect lambda_t</t>
  </si>
  <si>
    <t xml:space="preserve">lambda_P presidential intercept (mean of P2017 and P2022)</t>
  </si>
  <si>
    <t xml:space="preserve">Fit</t>
  </si>
  <si>
    <t xml:space="preserve">Observations</t>
  </si>
  <si>
    <t xml:space="preserve">Parameters</t>
  </si>
  <si>
    <t xml:space="preserve">R-squared (with fixed effects)</t>
  </si>
  <si>
    <t xml:space="preserve">First-stage F, excluded instruments</t>
  </si>
  <si>
    <t xml:space="preserve">X_j all elections</t>
  </si>
  <si>
    <t xml:space="preserve">X_j presidential</t>
  </si>
  <si>
    <t xml:space="preserve">X_j used for 2027</t>
  </si>
  <si>
    <t xml:space="preserve">X_j = average residual xi of the party (votes its positions do not explain). Presidential version averages P2017 and P2022 only; parties without a presidential candidate fall back on the all-election value.</t>
  </si>
  <si>
    <t xml:space="preserve">Income-group coefficients</t>
  </si>
  <si>
    <t xml:space="preserve">Varies by income</t>
  </si>
  <si>
    <t xml:space="preserve">Poor - middle</t>
  </si>
  <si>
    <t xml:space="preserve">Rich - middle</t>
  </si>
  <si>
    <t xml:space="preserve">No (common)</t>
  </si>
  <si>
    <t xml:space="preserve">Group intercept P2022</t>
  </si>
  <si>
    <t xml:space="preserve">Group intercept E2024</t>
  </si>
  <si>
    <t xml:space="preserve">Group intercept L2024</t>
  </si>
  <si>
    <t xml:space="preserve">Group coefficient = national beta + income deviation, centred so the population-weighted mean equals the national beta. Estimated with party x election fixed effects on 51 survey cells.</t>
  </si>
  <si>
    <t xml:space="preserve">Regression data: one row per party x election (60 observations)</t>
  </si>
  <si>
    <t xml:space="preserve">Characteristics are the values entered in the regression (coalitions = weighted mix, see Composites). y and ln s_j|g link to the Votes sheet; fitted values and residuals are formulas using the Coefficients sheet.</t>
  </si>
  <si>
    <t xml:space="preserve">y = ln(s_j/s0)</t>
  </si>
  <si>
    <t xml:space="preserve">Instrument: rivals in nest</t>
  </si>
  <si>
    <t xml:space="preserve">Instrument: rivals sum Tax cuts</t>
  </si>
  <si>
    <t xml:space="preserve">Instrument: rivals sum Immigration control</t>
  </si>
  <si>
    <t xml:space="preserve">Instrument: rivals sum Spending control</t>
  </si>
  <si>
    <t xml:space="preserve">Instrument: rivals sum European integration</t>
  </si>
  <si>
    <t xml:space="preserve">Instrument: rivals sum Support for Israel</t>
  </si>
  <si>
    <t xml:space="preserve">D_P2017</t>
  </si>
  <si>
    <t xml:space="preserve">D_L2017</t>
  </si>
  <si>
    <t xml:space="preserve">D_E2019</t>
  </si>
  <si>
    <t xml:space="preserve">D_P2022</t>
  </si>
  <si>
    <t xml:space="preserve">D_L2022</t>
  </si>
  <si>
    <t xml:space="preserve">D_E2024</t>
  </si>
  <si>
    <t xml:space="preserve">D_L2024</t>
  </si>
  <si>
    <t xml:space="preserve">Fitted</t>
  </si>
  <si>
    <t xml:space="preserve">xi (residual)</t>
  </si>
  <si>
    <t xml:space="preserve">X_j party factor</t>
  </si>
  <si>
    <t xml:space="preserve">eps = xi - X_j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</si>
</sst>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%"/>
    <numFmt numFmtId="167" formatCode="0.000"/>
    <numFmt numFmtId="168" formatCode="0%"/>
    <numFmt numFmtId="169" formatCode="0.00"/>
    <numFmt numFmtId="170" formatCode="0.0000"/>
    <numFmt numFmtId="171" formatCode="0.00%"/>
    <numFmt numFmtId="172" formatCode="0.0"/>
    <numFmt numFmtId="173" formatCode="\+0.00;\-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5599E"/>
        <bgColor rgb="FF555555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5599E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  <c r="B4" s="3" t="s">
        <v>3</v>
      </c>
    </row>
    <row r="5" customFormat="false" ht="15" hidden="false" customHeight="false" outlineLevel="0" collapsed="false">
      <c r="A5" s="2" t="s">
        <v>4</v>
      </c>
      <c r="B5" s="3" t="s">
        <v>5</v>
      </c>
    </row>
    <row r="6" customFormat="false" ht="15" hidden="false" customHeight="false" outlineLevel="0" collapsed="false">
      <c r="A6" s="2" t="s">
        <v>6</v>
      </c>
      <c r="B6" s="3" t="s">
        <v>7</v>
      </c>
    </row>
    <row r="7" customFormat="false" ht="15" hidden="false" customHeight="false" outlineLevel="0" collapsed="false">
      <c r="A7" s="2" t="s">
        <v>8</v>
      </c>
      <c r="B7" s="3" t="s">
        <v>9</v>
      </c>
    </row>
    <row r="8" customFormat="false" ht="15" hidden="false" customHeight="false" outlineLevel="0" collapsed="false">
      <c r="A8" s="2" t="s">
        <v>10</v>
      </c>
      <c r="B8" s="3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26.8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2" t="s">
        <v>16</v>
      </c>
      <c r="B11" s="3" t="s">
        <v>17</v>
      </c>
    </row>
    <row r="12" customFormat="false" ht="15" hidden="false" customHeight="false" outlineLevel="0" collapsed="false">
      <c r="A12" s="2" t="s">
        <v>18</v>
      </c>
      <c r="B12" s="3" t="s">
        <v>19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2" t="s">
        <v>20</v>
      </c>
    </row>
    <row r="15" customFormat="false" ht="15" hidden="false" customHeight="false" outlineLevel="0" collapsed="false">
      <c r="A15" s="2" t="s">
        <v>21</v>
      </c>
      <c r="B15" s="3" t="s">
        <v>22</v>
      </c>
    </row>
    <row r="16" customFormat="false" ht="26.85" hidden="false" customHeight="false" outlineLevel="0" collapsed="false">
      <c r="A16" s="2" t="s">
        <v>23</v>
      </c>
      <c r="B16" s="3" t="s">
        <v>24</v>
      </c>
    </row>
    <row r="17" customFormat="false" ht="26.85" hidden="false" customHeight="false" outlineLevel="0" collapsed="false">
      <c r="A17" s="2" t="s">
        <v>25</v>
      </c>
      <c r="B17" s="3" t="s">
        <v>26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27</v>
      </c>
    </row>
    <row r="20" customFormat="false" ht="15" hidden="false" customHeight="false" outlineLevel="0" collapsed="false">
      <c r="A20" s="4" t="s">
        <v>28</v>
      </c>
      <c r="B20" s="3" t="s">
        <v>29</v>
      </c>
    </row>
    <row r="21" customFormat="false" ht="15" hidden="false" customHeight="false" outlineLevel="0" collapsed="false">
      <c r="A21" s="2" t="s">
        <v>30</v>
      </c>
      <c r="B21" s="3" t="s">
        <v>31</v>
      </c>
    </row>
    <row r="22" customFormat="false" ht="15" hidden="false" customHeight="false" outlineLevel="0" collapsed="false">
      <c r="A22" s="5" t="s">
        <v>32</v>
      </c>
      <c r="B22" s="3" t="s">
        <v>33</v>
      </c>
    </row>
    <row r="23" customFormat="false" ht="15" hidden="false" customHeight="false" outlineLevel="0" collapsed="false">
      <c r="A23" s="6" t="s">
        <v>34</v>
      </c>
      <c r="B23" s="3" t="s">
        <v>35</v>
      </c>
    </row>
    <row r="24" customFormat="false" ht="15" hidden="false" customHeight="false" outlineLevel="0" collapsed="false">
      <c r="A24" s="2"/>
    </row>
    <row r="25" customFormat="false" ht="26.85" hidden="false" customHeight="false" outlineLevel="0" collapsed="false">
      <c r="A25" s="2" t="s">
        <v>36</v>
      </c>
      <c r="B25" s="3" t="s">
        <v>37</v>
      </c>
    </row>
    <row r="26" customFormat="false" ht="26.85" hidden="false" customHeight="false" outlineLevel="0" collapsed="false">
      <c r="A26" s="2" t="s">
        <v>38</v>
      </c>
      <c r="B26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3" topLeftCell="B14" activePane="bottomRight" state="frozen"/>
      <selection pane="topLeft" activeCell="A1" activeCellId="0" sqref="A1"/>
      <selection pane="topRight" activeCell="B1" activeCellId="0" sqref="B1"/>
      <selection pane="bottomLeft" activeCell="A14" activeCellId="0" sqref="A1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40"/>
    <col collapsed="false" customWidth="true" hidden="false" outlineLevel="0" max="30" min="5" style="0" width="11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7" t="s">
        <v>41</v>
      </c>
    </row>
    <row r="4" customFormat="false" ht="15" hidden="false" customHeight="false" outlineLevel="0" collapsed="false">
      <c r="A4" s="2" t="s">
        <v>42</v>
      </c>
    </row>
    <row r="5" customFormat="false" ht="15" hidden="false" customHeight="false" outlineLevel="0" collapsed="false">
      <c r="A5" s="8" t="s">
        <v>43</v>
      </c>
      <c r="B5" s="9" t="n">
        <v>49332709</v>
      </c>
      <c r="C5" s="7" t="s">
        <v>44</v>
      </c>
    </row>
    <row r="6" customFormat="false" ht="15" hidden="false" customHeight="false" outlineLevel="0" collapsed="false">
      <c r="A6" s="8" t="s">
        <v>45</v>
      </c>
      <c r="B6" s="10" t="n">
        <v>0.023</v>
      </c>
      <c r="C6" s="7" t="s">
        <v>46</v>
      </c>
    </row>
    <row r="7" customFormat="false" ht="15" hidden="false" customHeight="false" outlineLevel="0" collapsed="false">
      <c r="A7" s="8" t="s">
        <v>47</v>
      </c>
      <c r="B7" s="11" t="n">
        <f aca="false">MAX(0,MIN(0.95,Coefficients!D16))</f>
        <v>0.791797482467566</v>
      </c>
    </row>
    <row r="8" customFormat="false" ht="15" hidden="false" customHeight="false" outlineLevel="0" collapsed="false">
      <c r="A8" s="8" t="s">
        <v>48</v>
      </c>
      <c r="B8" s="11" t="n">
        <f aca="false">Coefficients!D28</f>
        <v>-0.481541771204841</v>
      </c>
    </row>
    <row r="9" customFormat="false" ht="15" hidden="false" customHeight="false" outlineLevel="0" collapsed="false">
      <c r="A9" s="8" t="s">
        <v>49</v>
      </c>
      <c r="B9" s="11" t="n">
        <f aca="false">Coefficients!D17</f>
        <v>0.0578908549889012</v>
      </c>
    </row>
    <row r="11" customFormat="false" ht="15" hidden="false" customHeight="false" outlineLevel="0" collapsed="false">
      <c r="D11" s="2" t="s">
        <v>50</v>
      </c>
      <c r="E11" s="11" t="n">
        <f aca="false">Coefficients!D5</f>
        <v>-0.0357472892955795</v>
      </c>
      <c r="F11" s="11" t="n">
        <f aca="false">Coefficients!D6</f>
        <v>0.105453902875288</v>
      </c>
      <c r="G11" s="11" t="n">
        <f aca="false">Coefficients!D7</f>
        <v>-0.0376153512096602</v>
      </c>
      <c r="H11" s="11" t="n">
        <f aca="false">Coefficients!D8</f>
        <v>0.0436856542245709</v>
      </c>
      <c r="I11" s="11" t="n">
        <f aca="false">Coefficients!D9</f>
        <v>0.00511907425836999</v>
      </c>
      <c r="J11" s="11" t="n">
        <f aca="false">Coefficients!D10</f>
        <v>0</v>
      </c>
      <c r="K11" s="11" t="n">
        <f aca="false">Coefficients!D11</f>
        <v>0</v>
      </c>
      <c r="L11" s="11" t="n">
        <f aca="false">Coefficients!D12</f>
        <v>0</v>
      </c>
      <c r="M11" s="11" t="n">
        <f aca="false">Coefficients!D13</f>
        <v>0</v>
      </c>
      <c r="N11" s="11" t="n">
        <f aca="false">Coefficients!D14</f>
        <v>0</v>
      </c>
      <c r="O11" s="2" t="s">
        <v>51</v>
      </c>
    </row>
    <row r="12" customFormat="false" ht="15" hidden="false" customHeight="false" outlineLevel="0" collapsed="false">
      <c r="N12" s="7" t="s">
        <v>52</v>
      </c>
      <c r="O12" s="12" t="n">
        <f aca="false">'Income survey'!D35</f>
        <v>0.12</v>
      </c>
      <c r="P12" s="12" t="n">
        <f aca="false">'Income survey'!D36</f>
        <v>0.47</v>
      </c>
      <c r="Q12" s="12" t="n">
        <f aca="false">'Income survey'!D37</f>
        <v>0.41</v>
      </c>
    </row>
    <row r="13" customFormat="false" ht="52.2" hidden="false" customHeight="false" outlineLevel="0" collapsed="false">
      <c r="A13" s="13" t="s">
        <v>53</v>
      </c>
      <c r="B13" s="13" t="s">
        <v>54</v>
      </c>
      <c r="C13" s="13" t="s">
        <v>55</v>
      </c>
      <c r="D13" s="13" t="s">
        <v>56</v>
      </c>
      <c r="E13" s="13" t="s">
        <v>57</v>
      </c>
      <c r="F13" s="13" t="s">
        <v>58</v>
      </c>
      <c r="G13" s="13" t="s">
        <v>59</v>
      </c>
      <c r="H13" s="13" t="s">
        <v>60</v>
      </c>
      <c r="I13" s="13" t="s">
        <v>61</v>
      </c>
      <c r="J13" s="13" t="s">
        <v>62</v>
      </c>
      <c r="K13" s="13" t="s">
        <v>63</v>
      </c>
      <c r="L13" s="13" t="s">
        <v>64</v>
      </c>
      <c r="M13" s="13" t="s">
        <v>65</v>
      </c>
      <c r="N13" s="13" t="s">
        <v>66</v>
      </c>
      <c r="O13" s="13" t="s">
        <v>67</v>
      </c>
      <c r="P13" s="13" t="s">
        <v>68</v>
      </c>
      <c r="Q13" s="13" t="s">
        <v>69</v>
      </c>
      <c r="R13" s="13" t="s">
        <v>70</v>
      </c>
      <c r="S13" s="13" t="s">
        <v>71</v>
      </c>
      <c r="T13" s="13" t="s">
        <v>72</v>
      </c>
      <c r="U13" s="13" t="s">
        <v>73</v>
      </c>
      <c r="V13" s="13" t="s">
        <v>74</v>
      </c>
      <c r="W13" s="13" t="s">
        <v>75</v>
      </c>
      <c r="X13" s="13" t="s">
        <v>76</v>
      </c>
      <c r="Y13" s="13" t="s">
        <v>77</v>
      </c>
      <c r="Z13" s="13" t="s">
        <v>78</v>
      </c>
      <c r="AA13" s="13" t="s">
        <v>79</v>
      </c>
      <c r="AB13" s="13" t="s">
        <v>80</v>
      </c>
      <c r="AC13" s="13" t="s">
        <v>81</v>
      </c>
      <c r="AD13" s="13" t="s">
        <v>82</v>
      </c>
    </row>
    <row r="14" customFormat="false" ht="15" hidden="false" customHeight="false" outlineLevel="0" collapsed="false">
      <c r="A14" s="14" t="s">
        <v>83</v>
      </c>
      <c r="B14" s="14" t="s">
        <v>84</v>
      </c>
      <c r="C14" s="14" t="s">
        <v>85</v>
      </c>
      <c r="D14" s="14"/>
      <c r="E14" s="15" t="n">
        <v>0</v>
      </c>
      <c r="F14" s="15" t="n">
        <v>0</v>
      </c>
      <c r="G14" s="15" t="n">
        <v>0</v>
      </c>
      <c r="H14" s="15" t="n">
        <v>2</v>
      </c>
      <c r="I14" s="15" t="n">
        <v>0.5</v>
      </c>
      <c r="J14" s="15" t="n">
        <v>10</v>
      </c>
      <c r="K14" s="15" t="n">
        <v>0.5</v>
      </c>
      <c r="L14" s="15" t="n">
        <v>6</v>
      </c>
      <c r="M14" s="15" t="n">
        <v>6</v>
      </c>
      <c r="N14" s="15" t="n">
        <v>3</v>
      </c>
      <c r="O14" s="15" t="n">
        <v>9.5</v>
      </c>
      <c r="P14" s="15" t="n">
        <v>6</v>
      </c>
      <c r="Q14" s="15" t="n">
        <v>0.5</v>
      </c>
      <c r="R14" s="15" t="n">
        <v>0</v>
      </c>
      <c r="S14" s="16" t="n">
        <f aca="false">IF($A14="","",IF($B14="NEW",5,INDEX(Fiscal!C:C,MATCH($B14,Fiscal!$A:$A,0))))</f>
        <v>9.5</v>
      </c>
      <c r="T14" s="16" t="n">
        <f aca="false">IF($A14="","",IF($B14="NEW",5,INDEX(Fiscal!D:D,MATCH($B14,Fiscal!$A:$A,0))))</f>
        <v>6</v>
      </c>
      <c r="U14" s="16" t="n">
        <f aca="false">IF($A14="","",IF($B14="NEW",5,INDEX(Fiscal!E:E,MATCH($B14,Fiscal!$A:$A,0))))</f>
        <v>0.5</v>
      </c>
      <c r="V14" s="17" t="n">
        <f aca="false">IF($A14="","",SUMPRODUCT($E$11:$N$11,E14:N14-5))</f>
        <v>-0.31454910868662</v>
      </c>
      <c r="W14" s="17" t="n">
        <f aca="false">IF($A14="","",$B$9*SUMPRODUCT($O$12:$Q$12,O14:Q14-S14:U14))</f>
        <v>0</v>
      </c>
      <c r="X14" s="11" t="n">
        <f aca="false">IF($A14="","",IF($B14="NEW",0,INDEX(Coefficients!$F$37:$F$50,MATCH($B14,Coefficients!$A$37:$A$50,0))))</f>
        <v>0.00809751155361127</v>
      </c>
      <c r="Y14" s="17" t="n">
        <f aca="false">IF($A14="","",$B$8+V14+W14+X14+N(R14))</f>
        <v>-0.78799336833785</v>
      </c>
      <c r="Z14" s="18" t="n">
        <f aca="false">IF($A14="","",EXP(Y14/(1-$B$7)))</f>
        <v>0.0227146617899021</v>
      </c>
      <c r="AA14" s="19" t="n">
        <f aca="false">IF($A14="","",Z14*INDEX($C$38:$C$40,MATCH($C14,$A$38:$A$40,0))^(-$B$7)/$B$42)</f>
        <v>0.0120038058307566</v>
      </c>
      <c r="AB14" s="20" t="n">
        <f aca="false">IF($A14="","",AA14*(1-$B$6)/$B$43)</f>
        <v>0.0159792435480835</v>
      </c>
      <c r="AC14" s="21" t="n">
        <f aca="false">IF($A14="","",AA14/$B$45*$B$5)</f>
        <v>582122.415724599</v>
      </c>
      <c r="AD14" s="8" t="n">
        <f aca="false">IF($A14="","",RANK(AB14,$AB$14:$AB$33))</f>
        <v>10</v>
      </c>
    </row>
    <row r="15" customFormat="false" ht="15" hidden="false" customHeight="false" outlineLevel="0" collapsed="false">
      <c r="A15" s="14" t="s">
        <v>86</v>
      </c>
      <c r="B15" s="14" t="s">
        <v>87</v>
      </c>
      <c r="C15" s="14" t="s">
        <v>85</v>
      </c>
      <c r="D15" s="14"/>
      <c r="E15" s="15" t="n">
        <v>1</v>
      </c>
      <c r="F15" s="15" t="n">
        <v>1.55</v>
      </c>
      <c r="G15" s="15" t="n">
        <v>1</v>
      </c>
      <c r="H15" s="15" t="n">
        <v>3.33</v>
      </c>
      <c r="I15" s="15" t="n">
        <v>1</v>
      </c>
      <c r="J15" s="15" t="n">
        <v>9</v>
      </c>
      <c r="K15" s="15" t="n">
        <v>2</v>
      </c>
      <c r="L15" s="15" t="n">
        <v>7.75</v>
      </c>
      <c r="M15" s="15" t="n">
        <v>6.67</v>
      </c>
      <c r="N15" s="15" t="n">
        <v>5</v>
      </c>
      <c r="O15" s="15" t="n">
        <v>9</v>
      </c>
      <c r="P15" s="15" t="n">
        <v>6.5</v>
      </c>
      <c r="Q15" s="15" t="n">
        <v>1</v>
      </c>
      <c r="R15" s="15" t="n">
        <v>0</v>
      </c>
      <c r="S15" s="16" t="n">
        <f aca="false">IF($A15="","",IF($B15="NEW",5,INDEX(Fiscal!C:C,MATCH($B15,Fiscal!$A:$A,0))))</f>
        <v>9</v>
      </c>
      <c r="T15" s="16" t="n">
        <f aca="false">IF($A15="","",IF($B15="NEW",5,INDEX(Fiscal!D:D,MATCH($B15,Fiscal!$A:$A,0))))</f>
        <v>6.5</v>
      </c>
      <c r="U15" s="16" t="n">
        <f aca="false">IF($A15="","",IF($B15="NEW",5,INDEX(Fiscal!E:E,MATCH($B15,Fiscal!$A:$A,0))))</f>
        <v>1</v>
      </c>
      <c r="V15" s="17" t="n">
        <f aca="false">IF($A15="","",SUMPRODUCT($E$11:$N$11,E15:N15-5))</f>
        <v>-0.163796742487299</v>
      </c>
      <c r="W15" s="17" t="n">
        <f aca="false">IF($A15="","",$B$9*SUMPRODUCT($O$12:$Q$12,O15:Q15-S15:U15))</f>
        <v>0</v>
      </c>
      <c r="X15" s="11" t="n">
        <f aca="false">IF($A15="","",IF($B15="NEW",0,INDEX(Coefficients!$F$37:$F$50,MATCH($B15,Coefficients!$A$37:$A$50,0))))</f>
        <v>0.270184141005409</v>
      </c>
      <c r="Y15" s="17" t="n">
        <f aca="false">IF($A15="","",$B$8+V15+W15+X15+N(R15))</f>
        <v>-0.375154372686731</v>
      </c>
      <c r="Z15" s="18" t="n">
        <f aca="false">IF($A15="","",EXP(Y15/(1-$B$7)))</f>
        <v>0.164989669994729</v>
      </c>
      <c r="AA15" s="19" t="n">
        <f aca="false">IF($A15="","",Z15*INDEX($C$38:$C$40,MATCH($C15,$A$38:$A$40,0))^(-$B$7)/$B$42)</f>
        <v>0.0871905547622013</v>
      </c>
      <c r="AB15" s="20" t="n">
        <f aca="false">IF($A15="","",AA15*(1-$B$6)/$B$43)</f>
        <v>0.116066448364894</v>
      </c>
      <c r="AC15" s="21" t="n">
        <f aca="false">IF($A15="","",AA15/$B$45*$B$5)</f>
        <v>4228290.35075632</v>
      </c>
      <c r="AD15" s="8" t="n">
        <f aca="false">IF($A15="","",RANK(AB15,$AB$14:$AB$33))</f>
        <v>3</v>
      </c>
    </row>
    <row r="16" customFormat="false" ht="15" hidden="false" customHeight="false" outlineLevel="0" collapsed="false">
      <c r="A16" s="14" t="s">
        <v>88</v>
      </c>
      <c r="B16" s="14" t="s">
        <v>88</v>
      </c>
      <c r="C16" s="14" t="s">
        <v>85</v>
      </c>
      <c r="D16" s="14"/>
      <c r="E16" s="15" t="n">
        <v>1</v>
      </c>
      <c r="F16" s="15" t="n">
        <v>3.09</v>
      </c>
      <c r="G16" s="15" t="n">
        <v>1</v>
      </c>
      <c r="H16" s="15" t="n">
        <v>3.52</v>
      </c>
      <c r="I16" s="15" t="n">
        <v>1.5</v>
      </c>
      <c r="J16" s="15" t="n">
        <v>9</v>
      </c>
      <c r="K16" s="15" t="n">
        <v>2.83</v>
      </c>
      <c r="L16" s="15" t="n">
        <v>6</v>
      </c>
      <c r="M16" s="15" t="n">
        <v>5.67</v>
      </c>
      <c r="N16" s="15" t="n">
        <v>4.5</v>
      </c>
      <c r="O16" s="15" t="n">
        <v>9</v>
      </c>
      <c r="P16" s="15" t="n">
        <v>6</v>
      </c>
      <c r="Q16" s="15" t="n">
        <v>1.5</v>
      </c>
      <c r="R16" s="15" t="n">
        <v>0</v>
      </c>
      <c r="S16" s="16" t="n">
        <f aca="false">IF($A16="","",IF($B16="NEW",5,INDEX(Fiscal!C:C,MATCH($B16,Fiscal!$A:$A,0))))</f>
        <v>9</v>
      </c>
      <c r="T16" s="16" t="n">
        <f aca="false">IF($A16="","",IF($B16="NEW",5,INDEX(Fiscal!D:D,MATCH($B16,Fiscal!$A:$A,0))))</f>
        <v>6</v>
      </c>
      <c r="U16" s="16" t="n">
        <f aca="false">IF($A16="","",IF($B16="NEW",5,INDEX(Fiscal!E:E,MATCH($B16,Fiscal!$A:$A,0))))</f>
        <v>1.5</v>
      </c>
      <c r="V16" s="17" t="n">
        <f aca="false">IF($A16="","",SUMPRODUCT($E$11:$N$11,E16:N16-5))</f>
        <v>0.00946207937249843</v>
      </c>
      <c r="W16" s="17" t="n">
        <f aca="false">IF($A16="","",$B$9*SUMPRODUCT($O$12:$Q$12,O16:Q16-S16:U16))</f>
        <v>0</v>
      </c>
      <c r="X16" s="11" t="n">
        <f aca="false">IF($A16="","",IF($B16="NEW",0,INDEX(Coefficients!$F$37:$F$50,MATCH($B16,Coefficients!$A$37:$A$50,0))))</f>
        <v>-0.123655139988886</v>
      </c>
      <c r="Y16" s="17" t="n">
        <f aca="false">IF($A16="","",$B$8+V16+W16+X16+N(R16))</f>
        <v>-0.595734831821229</v>
      </c>
      <c r="Z16" s="18" t="n">
        <f aca="false">IF($A16="","",EXP(Y16/(1-$B$7)))</f>
        <v>0.0571929944165972</v>
      </c>
      <c r="AA16" s="19" t="n">
        <f aca="false">IF($A16="","",Z16*INDEX($C$38:$C$40,MATCH($C16,$A$38:$A$40,0))^(-$B$7)/$B$42)</f>
        <v>0.0302242492627199</v>
      </c>
      <c r="AB16" s="20" t="n">
        <f aca="false">IF($A16="","",AA16*(1-$B$6)/$B$43)</f>
        <v>0.0402339596988086</v>
      </c>
      <c r="AC16" s="21" t="n">
        <f aca="false">IF($A16="","",AA16/$B$45*$B$5)</f>
        <v>1465719.55947474</v>
      </c>
      <c r="AD16" s="8" t="n">
        <f aca="false">IF($A16="","",RANK(AB16,$AB$14:$AB$33))</f>
        <v>8</v>
      </c>
    </row>
    <row r="17" customFormat="false" ht="15" hidden="false" customHeight="false" outlineLevel="0" collapsed="false">
      <c r="A17" s="14" t="s">
        <v>89</v>
      </c>
      <c r="B17" s="14" t="s">
        <v>90</v>
      </c>
      <c r="C17" s="14" t="s">
        <v>85</v>
      </c>
      <c r="D17" s="14"/>
      <c r="E17" s="15" t="n">
        <v>1.33</v>
      </c>
      <c r="F17" s="15" t="n">
        <v>1.6</v>
      </c>
      <c r="G17" s="15" t="n">
        <v>1.5</v>
      </c>
      <c r="H17" s="15" t="n">
        <v>8.67</v>
      </c>
      <c r="I17" s="15" t="n">
        <v>2</v>
      </c>
      <c r="J17" s="15" t="n">
        <v>8.6</v>
      </c>
      <c r="K17" s="15" t="n">
        <v>2.17</v>
      </c>
      <c r="L17" s="15" t="n">
        <v>9.25</v>
      </c>
      <c r="M17" s="15" t="n">
        <v>8</v>
      </c>
      <c r="N17" s="15" t="n">
        <v>7</v>
      </c>
      <c r="O17" s="15" t="n">
        <v>8</v>
      </c>
      <c r="P17" s="15" t="n">
        <v>5.5</v>
      </c>
      <c r="Q17" s="15" t="n">
        <v>2</v>
      </c>
      <c r="R17" s="15" t="n">
        <v>0</v>
      </c>
      <c r="S17" s="16" t="n">
        <f aca="false">IF($A17="","",IF($B17="NEW",5,INDEX(Fiscal!C:C,MATCH($B17,Fiscal!$A:$A,0))))</f>
        <v>8</v>
      </c>
      <c r="T17" s="16" t="n">
        <f aca="false">IF($A17="","",IF($B17="NEW",5,INDEX(Fiscal!D:D,MATCH($B17,Fiscal!$A:$A,0))))</f>
        <v>5.5</v>
      </c>
      <c r="U17" s="16" t="n">
        <f aca="false">IF($A17="","",IF($B17="NEW",5,INDEX(Fiscal!E:E,MATCH($B17,Fiscal!$A:$A,0))))</f>
        <v>2</v>
      </c>
      <c r="V17" s="17" t="n">
        <f aca="false">IF($A17="","",SUMPRODUCT($E$11:$N$11,E17:N17-5))</f>
        <v>0.0492721394016732</v>
      </c>
      <c r="W17" s="17" t="n">
        <f aca="false">IF($A17="","",$B$9*SUMPRODUCT($O$12:$Q$12,O17:Q17-S17:U17))</f>
        <v>0</v>
      </c>
      <c r="X17" s="11" t="n">
        <f aca="false">IF($A17="","",IF($B17="NEW",0,INDEX(Coefficients!$F$37:$F$50,MATCH($B17,Coefficients!$A$37:$A$50,0))))</f>
        <v>-0.0161863631663506</v>
      </c>
      <c r="Y17" s="17" t="n">
        <f aca="false">IF($A17="","",$B$8+V17+W17+X17+N(R17))</f>
        <v>-0.448455994969519</v>
      </c>
      <c r="Z17" s="18" t="n">
        <f aca="false">IF($A17="","",EXP(Y17/(1-$B$7)))</f>
        <v>0.116025965813551</v>
      </c>
      <c r="AA17" s="19" t="n">
        <f aca="false">IF($A17="","",Z17*INDEX($C$38:$C$40,MATCH($C17,$A$38:$A$40,0))^(-$B$7)/$B$42)</f>
        <v>0.0613151618912073</v>
      </c>
      <c r="AB17" s="20" t="n">
        <f aca="false">IF($A17="","",AA17*(1-$B$6)/$B$43)</f>
        <v>0.081621605586069</v>
      </c>
      <c r="AC17" s="21" t="n">
        <f aca="false">IF($A17="","",AA17/$B$45*$B$5)</f>
        <v>2973467.80378609</v>
      </c>
      <c r="AD17" s="8" t="n">
        <f aca="false">IF($A17="","",RANK(AB17,$AB$14:$AB$33))</f>
        <v>5</v>
      </c>
    </row>
    <row r="18" customFormat="false" ht="15" hidden="false" customHeight="false" outlineLevel="0" collapsed="false">
      <c r="A18" s="14" t="s">
        <v>91</v>
      </c>
      <c r="B18" s="14" t="s">
        <v>92</v>
      </c>
      <c r="C18" s="14" t="s">
        <v>85</v>
      </c>
      <c r="D18" s="14"/>
      <c r="E18" s="15" t="n">
        <v>1.67</v>
      </c>
      <c r="F18" s="15" t="n">
        <v>3.18</v>
      </c>
      <c r="G18" s="15" t="n">
        <v>2</v>
      </c>
      <c r="H18" s="15" t="n">
        <v>8.79</v>
      </c>
      <c r="I18" s="15" t="n">
        <v>3</v>
      </c>
      <c r="J18" s="15" t="n">
        <v>7.8</v>
      </c>
      <c r="K18" s="15" t="n">
        <v>2.83</v>
      </c>
      <c r="L18" s="15" t="n">
        <v>6.75</v>
      </c>
      <c r="M18" s="15" t="n">
        <v>6.67</v>
      </c>
      <c r="N18" s="15" t="n">
        <v>7.67</v>
      </c>
      <c r="O18" s="15" t="n">
        <v>7.5</v>
      </c>
      <c r="P18" s="15" t="n">
        <v>5.5</v>
      </c>
      <c r="Q18" s="15" t="n">
        <v>2.5</v>
      </c>
      <c r="R18" s="15" t="n">
        <v>0</v>
      </c>
      <c r="S18" s="16" t="n">
        <f aca="false">IF($A18="","",IF($B18="NEW",5,INDEX(Fiscal!C:C,MATCH($B18,Fiscal!$A:$A,0))))</f>
        <v>7.5</v>
      </c>
      <c r="T18" s="16" t="n">
        <f aca="false">IF($A18="","",IF($B18="NEW",5,INDEX(Fiscal!D:D,MATCH($B18,Fiscal!$A:$A,0))))</f>
        <v>5.5</v>
      </c>
      <c r="U18" s="16" t="n">
        <f aca="false">IF($A18="","",IF($B18="NEW",5,INDEX(Fiscal!E:E,MATCH($B18,Fiscal!$A:$A,0))))</f>
        <v>2.5</v>
      </c>
      <c r="V18" s="17" t="n">
        <f aca="false">IF($A18="","",SUMPRODUCT($E$11:$N$11,E18:N18-5))</f>
        <v>0.19528890474462</v>
      </c>
      <c r="W18" s="17" t="n">
        <f aca="false">IF($A18="","",$B$9*SUMPRODUCT($O$12:$Q$12,O18:Q18-S18:U18))</f>
        <v>0</v>
      </c>
      <c r="X18" s="11" t="n">
        <f aca="false">IF($A18="","",IF($B18="NEW",0,INDEX(Coefficients!$F$37:$F$50,MATCH($B18,Coefficients!$A$37:$A$50,0))))</f>
        <v>-0.301506604606775</v>
      </c>
      <c r="Y18" s="17" t="n">
        <f aca="false">IF($A18="","",$B$8+V18+W18+X18+N(R18))</f>
        <v>-0.587759471066996</v>
      </c>
      <c r="Z18" s="18" t="n">
        <f aca="false">IF($A18="","",EXP(Y18/(1-$B$7)))</f>
        <v>0.0594263184672228</v>
      </c>
      <c r="AA18" s="19" t="n">
        <f aca="false">IF($A18="","",Z18*INDEX($C$38:$C$40,MATCH($C18,$A$38:$A$40,0))^(-$B$7)/$B$42)</f>
        <v>0.0314044732303418</v>
      </c>
      <c r="AB18" s="20" t="n">
        <f aca="false">IF($A18="","",AA18*(1-$B$6)/$B$43)</f>
        <v>0.0418050519412035</v>
      </c>
      <c r="AC18" s="21" t="n">
        <f aca="false">IF($A18="","",AA18/$B$45*$B$5)</f>
        <v>1522954.30958773</v>
      </c>
      <c r="AD18" s="8" t="n">
        <f aca="false">IF($A18="","",RANK(AB18,$AB$14:$AB$33))</f>
        <v>7</v>
      </c>
    </row>
    <row r="19" customFormat="false" ht="15" hidden="false" customHeight="false" outlineLevel="0" collapsed="false">
      <c r="A19" s="14" t="s">
        <v>93</v>
      </c>
      <c r="B19" s="14" t="s">
        <v>94</v>
      </c>
      <c r="C19" s="14" t="s">
        <v>95</v>
      </c>
      <c r="D19" s="14"/>
      <c r="E19" s="15" t="n">
        <v>6.32</v>
      </c>
      <c r="F19" s="15" t="n">
        <v>5.55</v>
      </c>
      <c r="G19" s="15" t="n">
        <v>6.1</v>
      </c>
      <c r="H19" s="15" t="n">
        <v>9</v>
      </c>
      <c r="I19" s="15" t="n">
        <v>4.95</v>
      </c>
      <c r="J19" s="15" t="n">
        <v>3.92</v>
      </c>
      <c r="K19" s="15" t="n">
        <v>5.38</v>
      </c>
      <c r="L19" s="15" t="n">
        <v>5.5</v>
      </c>
      <c r="M19" s="15" t="n">
        <v>4.26</v>
      </c>
      <c r="N19" s="15" t="n">
        <v>8.14</v>
      </c>
      <c r="O19" s="15" t="n">
        <v>5.45</v>
      </c>
      <c r="P19" s="15" t="n">
        <v>6.4</v>
      </c>
      <c r="Q19" s="15" t="n">
        <v>6.35</v>
      </c>
      <c r="R19" s="15" t="n">
        <v>0</v>
      </c>
      <c r="S19" s="16" t="n">
        <f aca="false">IF($A19="","",IF($B19="NEW",5,INDEX(Fiscal!C:C,MATCH($B19,Fiscal!$A:$A,0))))</f>
        <v>5.45</v>
      </c>
      <c r="T19" s="16" t="n">
        <f aca="false">IF($A19="","",IF($B19="NEW",5,INDEX(Fiscal!D:D,MATCH($B19,Fiscal!$A:$A,0))))</f>
        <v>6.4</v>
      </c>
      <c r="U19" s="16" t="n">
        <f aca="false">IF($A19="","",IF($B19="NEW",5,INDEX(Fiscal!E:E,MATCH($B19,Fiscal!$A:$A,0))))</f>
        <v>6.35</v>
      </c>
      <c r="V19" s="17" t="n">
        <f aca="false">IF($A19="","",SUMPRODUCT($E$11:$N$11,E19:N19-5))</f>
        <v>0.143923001565983</v>
      </c>
      <c r="W19" s="17" t="n">
        <f aca="false">IF($A19="","",$B$9*SUMPRODUCT($O$12:$Q$12,O19:Q19-S19:U19))</f>
        <v>0</v>
      </c>
      <c r="X19" s="11" t="n">
        <f aca="false">IF($A19="","",IF($B19="NEW",0,INDEX(Coefficients!$F$37:$F$50,MATCH($B19,Coefficients!$A$37:$A$50,0))))</f>
        <v>-0.00238775649657058</v>
      </c>
      <c r="Y19" s="17" t="n">
        <f aca="false">IF($A19="","",$B$8+V19+W19+X19+N(R19))</f>
        <v>-0.340006526135429</v>
      </c>
      <c r="Z19" s="18" t="n">
        <f aca="false">IF($A19="","",EXP(Y19/(1-$B$7)))</f>
        <v>0.195331581282577</v>
      </c>
      <c r="AA19" s="19" t="n">
        <f aca="false">IF($A19="","",Z19*INDEX($C$38:$C$40,MATCH($C19,$A$38:$A$40,0))^(-$B$7)/$B$42)</f>
        <v>0.189376283214217</v>
      </c>
      <c r="AB19" s="20" t="n">
        <f aca="false">IF($A19="","",AA19*(1-$B$6)/$B$43)</f>
        <v>0.252094193656253</v>
      </c>
      <c r="AC19" s="21" t="n">
        <f aca="false">IF($A19="","",AA19/$B$45*$B$5)</f>
        <v>9183768.96626769</v>
      </c>
      <c r="AD19" s="8" t="n">
        <f aca="false">IF($A19="","",RANK(AB19,$AB$14:$AB$33))</f>
        <v>1</v>
      </c>
    </row>
    <row r="20" customFormat="false" ht="15" hidden="false" customHeight="false" outlineLevel="0" collapsed="false">
      <c r="A20" s="14" t="s">
        <v>96</v>
      </c>
      <c r="B20" s="14" t="s">
        <v>96</v>
      </c>
      <c r="C20" s="14" t="s">
        <v>97</v>
      </c>
      <c r="D20" s="14"/>
      <c r="E20" s="15" t="n">
        <v>7.33</v>
      </c>
      <c r="F20" s="15" t="n">
        <v>8.36</v>
      </c>
      <c r="G20" s="15" t="n">
        <v>7.5</v>
      </c>
      <c r="H20" s="15" t="n">
        <v>7.12</v>
      </c>
      <c r="I20" s="15" t="n">
        <v>7</v>
      </c>
      <c r="J20" s="15" t="n">
        <v>2.6</v>
      </c>
      <c r="K20" s="15" t="n">
        <v>7.83</v>
      </c>
      <c r="L20" s="15" t="n">
        <v>4</v>
      </c>
      <c r="M20" s="15" t="n">
        <v>2.67</v>
      </c>
      <c r="N20" s="15" t="n">
        <v>7</v>
      </c>
      <c r="O20" s="15" t="n">
        <v>4.5</v>
      </c>
      <c r="P20" s="15" t="n">
        <v>7</v>
      </c>
      <c r="Q20" s="15" t="n">
        <v>7.5</v>
      </c>
      <c r="R20" s="15" t="n">
        <v>0</v>
      </c>
      <c r="S20" s="16" t="n">
        <f aca="false">IF($A20="","",IF($B20="NEW",5,INDEX(Fiscal!C:C,MATCH($B20,Fiscal!$A:$A,0))))</f>
        <v>4.5</v>
      </c>
      <c r="T20" s="16" t="n">
        <f aca="false">IF($A20="","",IF($B20="NEW",5,INDEX(Fiscal!D:D,MATCH($B20,Fiscal!$A:$A,0))))</f>
        <v>7</v>
      </c>
      <c r="U20" s="16" t="n">
        <f aca="false">IF($A20="","",IF($B20="NEW",5,INDEX(Fiscal!E:E,MATCH($B20,Fiscal!$A:$A,0))))</f>
        <v>7.5</v>
      </c>
      <c r="V20" s="17" t="n">
        <f aca="false">IF($A20="","",SUMPRODUCT($E$11:$N$11,E20:N20-5))</f>
        <v>0.279847287050948</v>
      </c>
      <c r="W20" s="17" t="n">
        <f aca="false">IF($A20="","",$B$9*SUMPRODUCT($O$12:$Q$12,O20:Q20-S20:U20))</f>
        <v>0</v>
      </c>
      <c r="X20" s="11" t="n">
        <f aca="false">IF($A20="","",IF($B20="NEW",0,INDEX(Coefficients!$F$37:$F$50,MATCH($B20,Coefficients!$A$37:$A$50,0))))</f>
        <v>0.107231362689931</v>
      </c>
      <c r="Y20" s="17" t="n">
        <f aca="false">IF($A20="","",$B$8+V20+W20+X20+N(R20))</f>
        <v>-0.094463121463963</v>
      </c>
      <c r="Z20" s="18" t="n">
        <f aca="false">IF($A20="","",EXP(Y20/(1-$B$7)))</f>
        <v>0.635268284913203</v>
      </c>
      <c r="AA20" s="19" t="n">
        <f aca="false">IF($A20="","",Z20*INDEX($C$38:$C$40,MATCH($C20,$A$38:$A$40,0))^(-$B$7)/$B$42)</f>
        <v>0.0814042654377697</v>
      </c>
      <c r="AB20" s="20" t="n">
        <f aca="false">IF($A20="","",AA20*(1-$B$6)/$B$43)</f>
        <v>0.108363847401635</v>
      </c>
      <c r="AC20" s="21" t="n">
        <f aca="false">IF($A20="","",AA20/$B$45*$B$5)</f>
        <v>3947685.2854037</v>
      </c>
      <c r="AD20" s="8" t="n">
        <f aca="false">IF($A20="","",RANK(AB20,$AB$14:$AB$33))</f>
        <v>4</v>
      </c>
    </row>
    <row r="21" customFormat="false" ht="15" hidden="false" customHeight="false" outlineLevel="0" collapsed="false">
      <c r="A21" s="14" t="s">
        <v>98</v>
      </c>
      <c r="B21" s="14" t="s">
        <v>99</v>
      </c>
      <c r="C21" s="14" t="s">
        <v>97</v>
      </c>
      <c r="D21" s="14"/>
      <c r="E21" s="15" t="n">
        <v>6.5</v>
      </c>
      <c r="F21" s="15" t="n">
        <v>9.33</v>
      </c>
      <c r="G21" s="15" t="n">
        <v>5</v>
      </c>
      <c r="H21" s="15" t="n">
        <v>0.71</v>
      </c>
      <c r="I21" s="15" t="n">
        <v>6.5</v>
      </c>
      <c r="J21" s="15" t="n">
        <v>3.6</v>
      </c>
      <c r="K21" s="15" t="n">
        <v>9</v>
      </c>
      <c r="L21" s="15" t="n">
        <v>3</v>
      </c>
      <c r="M21" s="15" t="n">
        <v>3.5</v>
      </c>
      <c r="N21" s="15" t="n">
        <v>5</v>
      </c>
      <c r="O21" s="15" t="n">
        <v>6</v>
      </c>
      <c r="P21" s="15" t="n">
        <v>6.5</v>
      </c>
      <c r="Q21" s="15" t="n">
        <v>5</v>
      </c>
      <c r="R21" s="15" t="n">
        <v>0</v>
      </c>
      <c r="S21" s="16" t="n">
        <f aca="false">IF($A21="","",IF($B21="NEW",5,INDEX(Fiscal!C:C,MATCH($B21,Fiscal!$A:$A,0))))</f>
        <v>6</v>
      </c>
      <c r="T21" s="16" t="n">
        <f aca="false">IF($A21="","",IF($B21="NEW",5,INDEX(Fiscal!D:D,MATCH($B21,Fiscal!$A:$A,0))))</f>
        <v>6.5</v>
      </c>
      <c r="U21" s="16" t="n">
        <f aca="false">IF($A21="","",IF($B21="NEW",5,INDEX(Fiscal!E:E,MATCH($B21,Fiscal!$A:$A,0))))</f>
        <v>5</v>
      </c>
      <c r="V21" s="17" t="n">
        <f aca="false">IF($A21="","",SUMPRODUCT($E$11:$N$11,E21:N21-5))</f>
        <v>0.223261620270774</v>
      </c>
      <c r="W21" s="17" t="n">
        <f aca="false">IF($A21="","",$B$9*SUMPRODUCT($O$12:$Q$12,O21:Q21-S21:U21))</f>
        <v>0</v>
      </c>
      <c r="X21" s="11" t="n">
        <f aca="false">IF($A21="","",IF($B21="NEW",0,INDEX(Coefficients!$F$37:$F$50,MATCH($B21,Coefficients!$A$37:$A$50,0))))</f>
        <v>-0.112260555393381</v>
      </c>
      <c r="Y21" s="17" t="n">
        <f aca="false">IF($A21="","",$B$8+V21+W21+X21+N(R21))</f>
        <v>-0.370540706327448</v>
      </c>
      <c r="Z21" s="18" t="n">
        <f aca="false">IF($A21="","",EXP(Y21/(1-$B$7)))</f>
        <v>0.168686570180823</v>
      </c>
      <c r="AA21" s="19" t="n">
        <f aca="false">IF($A21="","",Z21*INDEX($C$38:$C$40,MATCH($C21,$A$38:$A$40,0))^(-$B$7)/$B$42)</f>
        <v>0.0216157592955595</v>
      </c>
      <c r="AB21" s="20" t="n">
        <f aca="false">IF($A21="","",AA21*(1-$B$6)/$B$43)</f>
        <v>0.0287744976160385</v>
      </c>
      <c r="AC21" s="21" t="n">
        <f aca="false">IF($A21="","",AA21/$B$45*$B$5)</f>
        <v>1048252.37897566</v>
      </c>
      <c r="AD21" s="8" t="n">
        <f aca="false">IF($A21="","",RANK(AB21,$AB$14:$AB$33))</f>
        <v>9</v>
      </c>
    </row>
    <row r="22" customFormat="false" ht="15" hidden="false" customHeight="false" outlineLevel="0" collapsed="false">
      <c r="A22" s="14" t="s">
        <v>100</v>
      </c>
      <c r="B22" s="14" t="s">
        <v>100</v>
      </c>
      <c r="C22" s="14" t="s">
        <v>97</v>
      </c>
      <c r="D22" s="14"/>
      <c r="E22" s="15" t="n">
        <v>4.33</v>
      </c>
      <c r="F22" s="15" t="n">
        <v>9.55</v>
      </c>
      <c r="G22" s="15" t="n">
        <v>3.5</v>
      </c>
      <c r="H22" s="15" t="n">
        <v>1.97</v>
      </c>
      <c r="I22" s="15" t="n">
        <v>7.5</v>
      </c>
      <c r="J22" s="15" t="n">
        <v>5.3</v>
      </c>
      <c r="K22" s="15" t="n">
        <v>8.83</v>
      </c>
      <c r="L22" s="15" t="n">
        <v>2.5</v>
      </c>
      <c r="M22" s="15" t="n">
        <v>2</v>
      </c>
      <c r="N22" s="15" t="n">
        <v>2.33</v>
      </c>
      <c r="O22" s="15" t="n">
        <v>7</v>
      </c>
      <c r="P22" s="15" t="n">
        <v>6.5</v>
      </c>
      <c r="Q22" s="15" t="n">
        <v>4.5</v>
      </c>
      <c r="R22" s="15" t="n">
        <v>0</v>
      </c>
      <c r="S22" s="16" t="n">
        <f aca="false">IF($A22="","",IF($B22="NEW",5,INDEX(Fiscal!C:C,MATCH($B22,Fiscal!$A:$A,0))))</f>
        <v>7</v>
      </c>
      <c r="T22" s="16" t="n">
        <f aca="false">IF($A22="","",IF($B22="NEW",5,INDEX(Fiscal!D:D,MATCH($B22,Fiscal!$A:$A,0))))</f>
        <v>6.5</v>
      </c>
      <c r="U22" s="16" t="n">
        <f aca="false">IF($A22="","",IF($B22="NEW",5,INDEX(Fiscal!E:E,MATCH($B22,Fiscal!$A:$A,0))))</f>
        <v>4.5</v>
      </c>
      <c r="V22" s="17" t="n">
        <f aca="false">IF($A22="","",SUMPRODUCT($E$11:$N$11,E22:N22-5))</f>
        <v>0.440619122070565</v>
      </c>
      <c r="W22" s="17" t="n">
        <f aca="false">IF($A22="","",$B$9*SUMPRODUCT($O$12:$Q$12,O22:Q22-S22:U22))</f>
        <v>0</v>
      </c>
      <c r="X22" s="11" t="n">
        <f aca="false">IF($A22="","",IF($B22="NEW",0,INDEX(Coefficients!$F$37:$F$50,MATCH($B22,Coefficients!$A$37:$A$50,0))))</f>
        <v>0.111052367751324</v>
      </c>
      <c r="Y22" s="17" t="n">
        <f aca="false">IF($A22="","",$B$8+V22+W22+X22+N(R22))</f>
        <v>0.0701297186170468</v>
      </c>
      <c r="Z22" s="18" t="n">
        <f aca="false">IF($A22="","",EXP(Y22/(1-$B$7)))</f>
        <v>1.40050677443836</v>
      </c>
      <c r="AA22" s="19" t="n">
        <f aca="false">IF($A22="","",Z22*INDEX($C$38:$C$40,MATCH($C22,$A$38:$A$40,0))^(-$B$7)/$B$42)</f>
        <v>0.179463114909556</v>
      </c>
      <c r="AB22" s="20" t="n">
        <f aca="false">IF($A22="","",AA22*(1-$B$6)/$B$43)</f>
        <v>0.238897967983605</v>
      </c>
      <c r="AC22" s="21" t="n">
        <f aca="false">IF($A22="","",AA22/$B$45*$B$5)</f>
        <v>8703031.64325905</v>
      </c>
      <c r="AD22" s="8" t="n">
        <f aca="false">IF($A22="","",RANK(AB22,$AB$14:$AB$33))</f>
        <v>2</v>
      </c>
    </row>
    <row r="23" customFormat="false" ht="15" hidden="false" customHeight="false" outlineLevel="0" collapsed="false">
      <c r="A23" s="14" t="s">
        <v>101</v>
      </c>
      <c r="B23" s="14" t="s">
        <v>102</v>
      </c>
      <c r="C23" s="14" t="s">
        <v>97</v>
      </c>
      <c r="D23" s="14"/>
      <c r="E23" s="15" t="n">
        <v>8.5</v>
      </c>
      <c r="F23" s="15" t="n">
        <v>9.67</v>
      </c>
      <c r="G23" s="15" t="n">
        <v>6</v>
      </c>
      <c r="H23" s="15" t="n">
        <v>1.06</v>
      </c>
      <c r="I23" s="15" t="n">
        <v>9</v>
      </c>
      <c r="J23" s="15" t="n">
        <v>2.11</v>
      </c>
      <c r="K23" s="15" t="n">
        <v>9.5</v>
      </c>
      <c r="L23" s="15" t="n">
        <v>1.67</v>
      </c>
      <c r="M23" s="15" t="n">
        <v>2.17</v>
      </c>
      <c r="N23" s="15" t="n">
        <v>5</v>
      </c>
      <c r="O23" s="15" t="n">
        <v>5.5</v>
      </c>
      <c r="P23" s="15" t="n">
        <v>7</v>
      </c>
      <c r="Q23" s="15" t="n">
        <v>8</v>
      </c>
      <c r="R23" s="15" t="n">
        <v>0</v>
      </c>
      <c r="S23" s="16" t="n">
        <f aca="false">IF($A23="","",IF($B23="NEW",5,INDEX(Fiscal!C:C,MATCH($B23,Fiscal!$A:$A,0))))</f>
        <v>5.5</v>
      </c>
      <c r="T23" s="16" t="n">
        <f aca="false">IF($A23="","",IF($B23="NEW",5,INDEX(Fiscal!D:D,MATCH($B23,Fiscal!$A:$A,0))))</f>
        <v>7</v>
      </c>
      <c r="U23" s="16" t="n">
        <f aca="false">IF($A23="","",IF($B23="NEW",5,INDEX(Fiscal!E:E,MATCH($B23,Fiscal!$A:$A,0))))</f>
        <v>8</v>
      </c>
      <c r="V23" s="17" t="n">
        <f aca="false">IF($A23="","",SUMPRODUCT($E$11:$N$11,E23:N23-5))</f>
        <v>0.178093682072078</v>
      </c>
      <c r="W23" s="17" t="n">
        <f aca="false">IF($A23="","",$B$9*SUMPRODUCT($O$12:$Q$12,O23:Q23-S23:U23))</f>
        <v>0</v>
      </c>
      <c r="X23" s="11" t="n">
        <f aca="false">IF($A23="","",IF($B23="NEW",0,INDEX(Coefficients!$F$37:$F$50,MATCH($B23,Coefficients!$A$37:$A$50,0))))</f>
        <v>0.0607180436921937</v>
      </c>
      <c r="Y23" s="17" t="n">
        <f aca="false">IF($A23="","",$B$8+V23+W23+X23+N(R23))</f>
        <v>-0.24273004544057</v>
      </c>
      <c r="Z23" s="18" t="n">
        <f aca="false">IF($A23="","",EXP(Y23/(1-$B$7)))</f>
        <v>0.311661921011823</v>
      </c>
      <c r="AA23" s="19" t="n">
        <f aca="false">IF($A23="","",Z23*INDEX($C$38:$C$40,MATCH($C23,$A$38:$A$40,0))^(-$B$7)/$B$42)</f>
        <v>0.0399368429802191</v>
      </c>
      <c r="AB23" s="20" t="n">
        <f aca="false">IF($A23="","",AA23*(1-$B$6)/$B$43)</f>
        <v>0.0531631842034108</v>
      </c>
      <c r="AC23" s="21" t="n">
        <f aca="false">IF($A23="","",AA23/$B$45*$B$5)</f>
        <v>1936730.0537711</v>
      </c>
      <c r="AD23" s="8" t="n">
        <f aca="false">IF($A23="","",RANK(AB23,$AB$14:$AB$33))</f>
        <v>6</v>
      </c>
    </row>
    <row r="24" customFormat="false" ht="15" hidden="false" customHeight="false" outlineLevel="0" collapsed="false">
      <c r="A24" s="14"/>
      <c r="B24" s="14"/>
      <c r="C24" s="14"/>
      <c r="D24" s="14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6" t="str">
        <f aca="false">IF($A24="","",IF($B24="NEW",5,INDEX(Fiscal!C:C,MATCH($B24,Fiscal!$A:$A,0))))</f>
        <v/>
      </c>
      <c r="T24" s="16" t="str">
        <f aca="false">IF($A24="","",IF($B24="NEW",5,INDEX(Fiscal!D:D,MATCH($B24,Fiscal!$A:$A,0))))</f>
        <v/>
      </c>
      <c r="U24" s="16" t="str">
        <f aca="false">IF($A24="","",IF($B24="NEW",5,INDEX(Fiscal!E:E,MATCH($B24,Fiscal!$A:$A,0))))</f>
        <v/>
      </c>
      <c r="V24" s="17" t="str">
        <f aca="false">IF($A24="","",SUMPRODUCT($E$11:$N$11,E24:N24-5))</f>
        <v/>
      </c>
      <c r="W24" s="17" t="str">
        <f aca="false">IF($A24="","",$B$9*SUMPRODUCT($O$12:$Q$12,O24:Q24-S24:U24))</f>
        <v/>
      </c>
      <c r="X24" s="11" t="str">
        <f aca="false">IF($A24="","",IF($B24="NEW",0,INDEX(Coefficients!$F$37:$F$50,MATCH($B24,Coefficients!$A$37:$A$50,0))))</f>
        <v/>
      </c>
      <c r="Y24" s="17" t="str">
        <f aca="false">IF($A24="","",$B$8+V24+W24+X24+N(R24))</f>
        <v/>
      </c>
      <c r="Z24" s="18" t="str">
        <f aca="false">IF($A24="","",EXP(Y24/(1-$B$7)))</f>
        <v/>
      </c>
      <c r="AA24" s="19" t="str">
        <f aca="false">IF($A24="","",Z24*INDEX($C$38:$C$40,MATCH($C24,$A$38:$A$40,0))^(-$B$7)/$B$42)</f>
        <v/>
      </c>
      <c r="AB24" s="20" t="str">
        <f aca="false">IF($A24="","",AA24*(1-$B$6)/$B$43)</f>
        <v/>
      </c>
      <c r="AC24" s="21" t="str">
        <f aca="false">IF($A24="","",AA24/$B$45*$B$5)</f>
        <v/>
      </c>
      <c r="AD24" s="8" t="str">
        <f aca="false">IF($A24="","",RANK(AB24,$AB$14:$AB$33))</f>
        <v/>
      </c>
    </row>
    <row r="25" customFormat="false" ht="15" hidden="false" customHeight="false" outlineLevel="0" collapsed="false">
      <c r="A25" s="14"/>
      <c r="B25" s="14"/>
      <c r="C25" s="14"/>
      <c r="D25" s="14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6" t="str">
        <f aca="false">IF($A25="","",IF($B25="NEW",5,INDEX(Fiscal!C:C,MATCH($B25,Fiscal!$A:$A,0))))</f>
        <v/>
      </c>
      <c r="T25" s="16" t="str">
        <f aca="false">IF($A25="","",IF($B25="NEW",5,INDEX(Fiscal!D:D,MATCH($B25,Fiscal!$A:$A,0))))</f>
        <v/>
      </c>
      <c r="U25" s="16" t="str">
        <f aca="false">IF($A25="","",IF($B25="NEW",5,INDEX(Fiscal!E:E,MATCH($B25,Fiscal!$A:$A,0))))</f>
        <v/>
      </c>
      <c r="V25" s="17" t="str">
        <f aca="false">IF($A25="","",SUMPRODUCT($E$11:$N$11,E25:N25-5))</f>
        <v/>
      </c>
      <c r="W25" s="17" t="str">
        <f aca="false">IF($A25="","",$B$9*SUMPRODUCT($O$12:$Q$12,O25:Q25-S25:U25))</f>
        <v/>
      </c>
      <c r="X25" s="11" t="str">
        <f aca="false">IF($A25="","",IF($B25="NEW",0,INDEX(Coefficients!$F$37:$F$50,MATCH($B25,Coefficients!$A$37:$A$50,0))))</f>
        <v/>
      </c>
      <c r="Y25" s="17" t="str">
        <f aca="false">IF($A25="","",$B$8+V25+W25+X25+N(R25))</f>
        <v/>
      </c>
      <c r="Z25" s="18" t="str">
        <f aca="false">IF($A25="","",EXP(Y25/(1-$B$7)))</f>
        <v/>
      </c>
      <c r="AA25" s="19" t="str">
        <f aca="false">IF($A25="","",Z25*INDEX($C$38:$C$40,MATCH($C25,$A$38:$A$40,0))^(-$B$7)/$B$42)</f>
        <v/>
      </c>
      <c r="AB25" s="20" t="str">
        <f aca="false">IF($A25="","",AA25*(1-$B$6)/$B$43)</f>
        <v/>
      </c>
      <c r="AC25" s="21" t="str">
        <f aca="false">IF($A25="","",AA25/$B$45*$B$5)</f>
        <v/>
      </c>
      <c r="AD25" s="8" t="str">
        <f aca="false">IF($A25="","",RANK(AB25,$AB$14:$AB$33))</f>
        <v/>
      </c>
    </row>
    <row r="26" customFormat="false" ht="15" hidden="false" customHeight="false" outlineLevel="0" collapsed="false">
      <c r="A26" s="14"/>
      <c r="B26" s="14"/>
      <c r="C26" s="14"/>
      <c r="D26" s="14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6" t="str">
        <f aca="false">IF($A26="","",IF($B26="NEW",5,INDEX(Fiscal!C:C,MATCH($B26,Fiscal!$A:$A,0))))</f>
        <v/>
      </c>
      <c r="T26" s="16" t="str">
        <f aca="false">IF($A26="","",IF($B26="NEW",5,INDEX(Fiscal!D:D,MATCH($B26,Fiscal!$A:$A,0))))</f>
        <v/>
      </c>
      <c r="U26" s="16" t="str">
        <f aca="false">IF($A26="","",IF($B26="NEW",5,INDEX(Fiscal!E:E,MATCH($B26,Fiscal!$A:$A,0))))</f>
        <v/>
      </c>
      <c r="V26" s="17" t="str">
        <f aca="false">IF($A26="","",SUMPRODUCT($E$11:$N$11,E26:N26-5))</f>
        <v/>
      </c>
      <c r="W26" s="17" t="str">
        <f aca="false">IF($A26="","",$B$9*SUMPRODUCT($O$12:$Q$12,O26:Q26-S26:U26))</f>
        <v/>
      </c>
      <c r="X26" s="11" t="str">
        <f aca="false">IF($A26="","",IF($B26="NEW",0,INDEX(Coefficients!$F$37:$F$50,MATCH($B26,Coefficients!$A$37:$A$50,0))))</f>
        <v/>
      </c>
      <c r="Y26" s="17" t="str">
        <f aca="false">IF($A26="","",$B$8+V26+W26+X26+N(R26))</f>
        <v/>
      </c>
      <c r="Z26" s="18" t="str">
        <f aca="false">IF($A26="","",EXP(Y26/(1-$B$7)))</f>
        <v/>
      </c>
      <c r="AA26" s="19" t="str">
        <f aca="false">IF($A26="","",Z26*INDEX($C$38:$C$40,MATCH($C26,$A$38:$A$40,0))^(-$B$7)/$B$42)</f>
        <v/>
      </c>
      <c r="AB26" s="20" t="str">
        <f aca="false">IF($A26="","",AA26*(1-$B$6)/$B$43)</f>
        <v/>
      </c>
      <c r="AC26" s="21" t="str">
        <f aca="false">IF($A26="","",AA26/$B$45*$B$5)</f>
        <v/>
      </c>
      <c r="AD26" s="8" t="str">
        <f aca="false">IF($A26="","",RANK(AB26,$AB$14:$AB$33))</f>
        <v/>
      </c>
    </row>
    <row r="27" customFormat="false" ht="15" hidden="false" customHeight="false" outlineLevel="0" collapsed="false">
      <c r="A27" s="14"/>
      <c r="B27" s="14"/>
      <c r="C27" s="14"/>
      <c r="D27" s="14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6" t="str">
        <f aca="false">IF($A27="","",IF($B27="NEW",5,INDEX(Fiscal!C:C,MATCH($B27,Fiscal!$A:$A,0))))</f>
        <v/>
      </c>
      <c r="T27" s="16" t="str">
        <f aca="false">IF($A27="","",IF($B27="NEW",5,INDEX(Fiscal!D:D,MATCH($B27,Fiscal!$A:$A,0))))</f>
        <v/>
      </c>
      <c r="U27" s="16" t="str">
        <f aca="false">IF($A27="","",IF($B27="NEW",5,INDEX(Fiscal!E:E,MATCH($B27,Fiscal!$A:$A,0))))</f>
        <v/>
      </c>
      <c r="V27" s="17" t="str">
        <f aca="false">IF($A27="","",SUMPRODUCT($E$11:$N$11,E27:N27-5))</f>
        <v/>
      </c>
      <c r="W27" s="17" t="str">
        <f aca="false">IF($A27="","",$B$9*SUMPRODUCT($O$12:$Q$12,O27:Q27-S27:U27))</f>
        <v/>
      </c>
      <c r="X27" s="11" t="str">
        <f aca="false">IF($A27="","",IF($B27="NEW",0,INDEX(Coefficients!$F$37:$F$50,MATCH($B27,Coefficients!$A$37:$A$50,0))))</f>
        <v/>
      </c>
      <c r="Y27" s="17" t="str">
        <f aca="false">IF($A27="","",$B$8+V27+W27+X27+N(R27))</f>
        <v/>
      </c>
      <c r="Z27" s="18" t="str">
        <f aca="false">IF($A27="","",EXP(Y27/(1-$B$7)))</f>
        <v/>
      </c>
      <c r="AA27" s="19" t="str">
        <f aca="false">IF($A27="","",Z27*INDEX($C$38:$C$40,MATCH($C27,$A$38:$A$40,0))^(-$B$7)/$B$42)</f>
        <v/>
      </c>
      <c r="AB27" s="20" t="str">
        <f aca="false">IF($A27="","",AA27*(1-$B$6)/$B$43)</f>
        <v/>
      </c>
      <c r="AC27" s="21" t="str">
        <f aca="false">IF($A27="","",AA27/$B$45*$B$5)</f>
        <v/>
      </c>
      <c r="AD27" s="8" t="str">
        <f aca="false">IF($A27="","",RANK(AB27,$AB$14:$AB$33))</f>
        <v/>
      </c>
    </row>
    <row r="28" customFormat="false" ht="15" hidden="false" customHeight="false" outlineLevel="0" collapsed="false">
      <c r="A28" s="14"/>
      <c r="B28" s="14"/>
      <c r="C28" s="14"/>
      <c r="D28" s="14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6" t="str">
        <f aca="false">IF($A28="","",IF($B28="NEW",5,INDEX(Fiscal!C:C,MATCH($B28,Fiscal!$A:$A,0))))</f>
        <v/>
      </c>
      <c r="T28" s="16" t="str">
        <f aca="false">IF($A28="","",IF($B28="NEW",5,INDEX(Fiscal!D:D,MATCH($B28,Fiscal!$A:$A,0))))</f>
        <v/>
      </c>
      <c r="U28" s="16" t="str">
        <f aca="false">IF($A28="","",IF($B28="NEW",5,INDEX(Fiscal!E:E,MATCH($B28,Fiscal!$A:$A,0))))</f>
        <v/>
      </c>
      <c r="V28" s="17" t="str">
        <f aca="false">IF($A28="","",SUMPRODUCT($E$11:$N$11,E28:N28-5))</f>
        <v/>
      </c>
      <c r="W28" s="17" t="str">
        <f aca="false">IF($A28="","",$B$9*SUMPRODUCT($O$12:$Q$12,O28:Q28-S28:U28))</f>
        <v/>
      </c>
      <c r="X28" s="11" t="str">
        <f aca="false">IF($A28="","",IF($B28="NEW",0,INDEX(Coefficients!$F$37:$F$50,MATCH($B28,Coefficients!$A$37:$A$50,0))))</f>
        <v/>
      </c>
      <c r="Y28" s="17" t="str">
        <f aca="false">IF($A28="","",$B$8+V28+W28+X28+N(R28))</f>
        <v/>
      </c>
      <c r="Z28" s="18" t="str">
        <f aca="false">IF($A28="","",EXP(Y28/(1-$B$7)))</f>
        <v/>
      </c>
      <c r="AA28" s="19" t="str">
        <f aca="false">IF($A28="","",Z28*INDEX($C$38:$C$40,MATCH($C28,$A$38:$A$40,0))^(-$B$7)/$B$42)</f>
        <v/>
      </c>
      <c r="AB28" s="20" t="str">
        <f aca="false">IF($A28="","",AA28*(1-$B$6)/$B$43)</f>
        <v/>
      </c>
      <c r="AC28" s="21" t="str">
        <f aca="false">IF($A28="","",AA28/$B$45*$B$5)</f>
        <v/>
      </c>
      <c r="AD28" s="8" t="str">
        <f aca="false">IF($A28="","",RANK(AB28,$AB$14:$AB$33))</f>
        <v/>
      </c>
    </row>
    <row r="29" customFormat="false" ht="15" hidden="false" customHeight="false" outlineLevel="0" collapsed="false">
      <c r="A29" s="14"/>
      <c r="B29" s="14"/>
      <c r="C29" s="14"/>
      <c r="D29" s="14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6" t="str">
        <f aca="false">IF($A29="","",IF($B29="NEW",5,INDEX(Fiscal!C:C,MATCH($B29,Fiscal!$A:$A,0))))</f>
        <v/>
      </c>
      <c r="T29" s="16" t="str">
        <f aca="false">IF($A29="","",IF($B29="NEW",5,INDEX(Fiscal!D:D,MATCH($B29,Fiscal!$A:$A,0))))</f>
        <v/>
      </c>
      <c r="U29" s="16" t="str">
        <f aca="false">IF($A29="","",IF($B29="NEW",5,INDEX(Fiscal!E:E,MATCH($B29,Fiscal!$A:$A,0))))</f>
        <v/>
      </c>
      <c r="V29" s="17" t="str">
        <f aca="false">IF($A29="","",SUMPRODUCT($E$11:$N$11,E29:N29-5))</f>
        <v/>
      </c>
      <c r="W29" s="17" t="str">
        <f aca="false">IF($A29="","",$B$9*SUMPRODUCT($O$12:$Q$12,O29:Q29-S29:U29))</f>
        <v/>
      </c>
      <c r="X29" s="11" t="str">
        <f aca="false">IF($A29="","",IF($B29="NEW",0,INDEX(Coefficients!$F$37:$F$50,MATCH($B29,Coefficients!$A$37:$A$50,0))))</f>
        <v/>
      </c>
      <c r="Y29" s="17" t="str">
        <f aca="false">IF($A29="","",$B$8+V29+W29+X29+N(R29))</f>
        <v/>
      </c>
      <c r="Z29" s="18" t="str">
        <f aca="false">IF($A29="","",EXP(Y29/(1-$B$7)))</f>
        <v/>
      </c>
      <c r="AA29" s="19" t="str">
        <f aca="false">IF($A29="","",Z29*INDEX($C$38:$C$40,MATCH($C29,$A$38:$A$40,0))^(-$B$7)/$B$42)</f>
        <v/>
      </c>
      <c r="AB29" s="20" t="str">
        <f aca="false">IF($A29="","",AA29*(1-$B$6)/$B$43)</f>
        <v/>
      </c>
      <c r="AC29" s="21" t="str">
        <f aca="false">IF($A29="","",AA29/$B$45*$B$5)</f>
        <v/>
      </c>
      <c r="AD29" s="8" t="str">
        <f aca="false">IF($A29="","",RANK(AB29,$AB$14:$AB$33))</f>
        <v/>
      </c>
    </row>
    <row r="30" customFormat="false" ht="15" hidden="false" customHeight="false" outlineLevel="0" collapsed="false">
      <c r="A30" s="14"/>
      <c r="B30" s="14"/>
      <c r="C30" s="14"/>
      <c r="D30" s="14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6" t="str">
        <f aca="false">IF($A30="","",IF($B30="NEW",5,INDEX(Fiscal!C:C,MATCH($B30,Fiscal!$A:$A,0))))</f>
        <v/>
      </c>
      <c r="T30" s="16" t="str">
        <f aca="false">IF($A30="","",IF($B30="NEW",5,INDEX(Fiscal!D:D,MATCH($B30,Fiscal!$A:$A,0))))</f>
        <v/>
      </c>
      <c r="U30" s="16" t="str">
        <f aca="false">IF($A30="","",IF($B30="NEW",5,INDEX(Fiscal!E:E,MATCH($B30,Fiscal!$A:$A,0))))</f>
        <v/>
      </c>
      <c r="V30" s="17" t="str">
        <f aca="false">IF($A30="","",SUMPRODUCT($E$11:$N$11,E30:N30-5))</f>
        <v/>
      </c>
      <c r="W30" s="17" t="str">
        <f aca="false">IF($A30="","",$B$9*SUMPRODUCT($O$12:$Q$12,O30:Q30-S30:U30))</f>
        <v/>
      </c>
      <c r="X30" s="11" t="str">
        <f aca="false">IF($A30="","",IF($B30="NEW",0,INDEX(Coefficients!$F$37:$F$50,MATCH($B30,Coefficients!$A$37:$A$50,0))))</f>
        <v/>
      </c>
      <c r="Y30" s="17" t="str">
        <f aca="false">IF($A30="","",$B$8+V30+W30+X30+N(R30))</f>
        <v/>
      </c>
      <c r="Z30" s="18" t="str">
        <f aca="false">IF($A30="","",EXP(Y30/(1-$B$7)))</f>
        <v/>
      </c>
      <c r="AA30" s="19" t="str">
        <f aca="false">IF($A30="","",Z30*INDEX($C$38:$C$40,MATCH($C30,$A$38:$A$40,0))^(-$B$7)/$B$42)</f>
        <v/>
      </c>
      <c r="AB30" s="20" t="str">
        <f aca="false">IF($A30="","",AA30*(1-$B$6)/$B$43)</f>
        <v/>
      </c>
      <c r="AC30" s="21" t="str">
        <f aca="false">IF($A30="","",AA30/$B$45*$B$5)</f>
        <v/>
      </c>
      <c r="AD30" s="8" t="str">
        <f aca="false">IF($A30="","",RANK(AB30,$AB$14:$AB$33))</f>
        <v/>
      </c>
    </row>
    <row r="31" customFormat="false" ht="15" hidden="false" customHeight="false" outlineLevel="0" collapsed="false">
      <c r="A31" s="14"/>
      <c r="B31" s="14"/>
      <c r="C31" s="14"/>
      <c r="D31" s="14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6" t="str">
        <f aca="false">IF($A31="","",IF($B31="NEW",5,INDEX(Fiscal!C:C,MATCH($B31,Fiscal!$A:$A,0))))</f>
        <v/>
      </c>
      <c r="T31" s="16" t="str">
        <f aca="false">IF($A31="","",IF($B31="NEW",5,INDEX(Fiscal!D:D,MATCH($B31,Fiscal!$A:$A,0))))</f>
        <v/>
      </c>
      <c r="U31" s="16" t="str">
        <f aca="false">IF($A31="","",IF($B31="NEW",5,INDEX(Fiscal!E:E,MATCH($B31,Fiscal!$A:$A,0))))</f>
        <v/>
      </c>
      <c r="V31" s="17" t="str">
        <f aca="false">IF($A31="","",SUMPRODUCT($E$11:$N$11,E31:N31-5))</f>
        <v/>
      </c>
      <c r="W31" s="17" t="str">
        <f aca="false">IF($A31="","",$B$9*SUMPRODUCT($O$12:$Q$12,O31:Q31-S31:U31))</f>
        <v/>
      </c>
      <c r="X31" s="11" t="str">
        <f aca="false">IF($A31="","",IF($B31="NEW",0,INDEX(Coefficients!$F$37:$F$50,MATCH($B31,Coefficients!$A$37:$A$50,0))))</f>
        <v/>
      </c>
      <c r="Y31" s="17" t="str">
        <f aca="false">IF($A31="","",$B$8+V31+W31+X31+N(R31))</f>
        <v/>
      </c>
      <c r="Z31" s="18" t="str">
        <f aca="false">IF($A31="","",EXP(Y31/(1-$B$7)))</f>
        <v/>
      </c>
      <c r="AA31" s="19" t="str">
        <f aca="false">IF($A31="","",Z31*INDEX($C$38:$C$40,MATCH($C31,$A$38:$A$40,0))^(-$B$7)/$B$42)</f>
        <v/>
      </c>
      <c r="AB31" s="20" t="str">
        <f aca="false">IF($A31="","",AA31*(1-$B$6)/$B$43)</f>
        <v/>
      </c>
      <c r="AC31" s="21" t="str">
        <f aca="false">IF($A31="","",AA31/$B$45*$B$5)</f>
        <v/>
      </c>
      <c r="AD31" s="8" t="str">
        <f aca="false">IF($A31="","",RANK(AB31,$AB$14:$AB$33))</f>
        <v/>
      </c>
    </row>
    <row r="32" customFormat="false" ht="15" hidden="false" customHeight="false" outlineLevel="0" collapsed="false">
      <c r="A32" s="14"/>
      <c r="B32" s="14"/>
      <c r="C32" s="14"/>
      <c r="D32" s="14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6" t="str">
        <f aca="false">IF($A32="","",IF($B32="NEW",5,INDEX(Fiscal!C:C,MATCH($B32,Fiscal!$A:$A,0))))</f>
        <v/>
      </c>
      <c r="T32" s="16" t="str">
        <f aca="false">IF($A32="","",IF($B32="NEW",5,INDEX(Fiscal!D:D,MATCH($B32,Fiscal!$A:$A,0))))</f>
        <v/>
      </c>
      <c r="U32" s="16" t="str">
        <f aca="false">IF($A32="","",IF($B32="NEW",5,INDEX(Fiscal!E:E,MATCH($B32,Fiscal!$A:$A,0))))</f>
        <v/>
      </c>
      <c r="V32" s="17" t="str">
        <f aca="false">IF($A32="","",SUMPRODUCT($E$11:$N$11,E32:N32-5))</f>
        <v/>
      </c>
      <c r="W32" s="17" t="str">
        <f aca="false">IF($A32="","",$B$9*SUMPRODUCT($O$12:$Q$12,O32:Q32-S32:U32))</f>
        <v/>
      </c>
      <c r="X32" s="11" t="str">
        <f aca="false">IF($A32="","",IF($B32="NEW",0,INDEX(Coefficients!$F$37:$F$50,MATCH($B32,Coefficients!$A$37:$A$50,0))))</f>
        <v/>
      </c>
      <c r="Y32" s="17" t="str">
        <f aca="false">IF($A32="","",$B$8+V32+W32+X32+N(R32))</f>
        <v/>
      </c>
      <c r="Z32" s="18" t="str">
        <f aca="false">IF($A32="","",EXP(Y32/(1-$B$7)))</f>
        <v/>
      </c>
      <c r="AA32" s="19" t="str">
        <f aca="false">IF($A32="","",Z32*INDEX($C$38:$C$40,MATCH($C32,$A$38:$A$40,0))^(-$B$7)/$B$42)</f>
        <v/>
      </c>
      <c r="AB32" s="20" t="str">
        <f aca="false">IF($A32="","",AA32*(1-$B$6)/$B$43)</f>
        <v/>
      </c>
      <c r="AC32" s="21" t="str">
        <f aca="false">IF($A32="","",AA32/$B$45*$B$5)</f>
        <v/>
      </c>
      <c r="AD32" s="8" t="str">
        <f aca="false">IF($A32="","",RANK(AB32,$AB$14:$AB$33))</f>
        <v/>
      </c>
    </row>
    <row r="33" customFormat="false" ht="15" hidden="false" customHeight="false" outlineLevel="0" collapsed="false">
      <c r="A33" s="14"/>
      <c r="B33" s="14"/>
      <c r="C33" s="14"/>
      <c r="D33" s="14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6" t="str">
        <f aca="false">IF($A33="","",IF($B33="NEW",5,INDEX(Fiscal!C:C,MATCH($B33,Fiscal!$A:$A,0))))</f>
        <v/>
      </c>
      <c r="T33" s="16" t="str">
        <f aca="false">IF($A33="","",IF($B33="NEW",5,INDEX(Fiscal!D:D,MATCH($B33,Fiscal!$A:$A,0))))</f>
        <v/>
      </c>
      <c r="U33" s="16" t="str">
        <f aca="false">IF($A33="","",IF($B33="NEW",5,INDEX(Fiscal!E:E,MATCH($B33,Fiscal!$A:$A,0))))</f>
        <v/>
      </c>
      <c r="V33" s="17" t="str">
        <f aca="false">IF($A33="","",SUMPRODUCT($E$11:$N$11,E33:N33-5))</f>
        <v/>
      </c>
      <c r="W33" s="17" t="str">
        <f aca="false">IF($A33="","",$B$9*SUMPRODUCT($O$12:$Q$12,O33:Q33-S33:U33))</f>
        <v/>
      </c>
      <c r="X33" s="11" t="str">
        <f aca="false">IF($A33="","",IF($B33="NEW",0,INDEX(Coefficients!$F$37:$F$50,MATCH($B33,Coefficients!$A$37:$A$50,0))))</f>
        <v/>
      </c>
      <c r="Y33" s="17" t="str">
        <f aca="false">IF($A33="","",$B$8+V33+W33+X33+N(R33))</f>
        <v/>
      </c>
      <c r="Z33" s="18" t="str">
        <f aca="false">IF($A33="","",EXP(Y33/(1-$B$7)))</f>
        <v/>
      </c>
      <c r="AA33" s="19" t="str">
        <f aca="false">IF($A33="","",Z33*INDEX($C$38:$C$40,MATCH($C33,$A$38:$A$40,0))^(-$B$7)/$B$42)</f>
        <v/>
      </c>
      <c r="AB33" s="20" t="str">
        <f aca="false">IF($A33="","",AA33*(1-$B$6)/$B$43)</f>
        <v/>
      </c>
      <c r="AC33" s="21" t="str">
        <f aca="false">IF($A33="","",AA33/$B$45*$B$5)</f>
        <v/>
      </c>
      <c r="AD33" s="8" t="str">
        <f aca="false">IF($A33="","",RANK(AB33,$AB$14:$AB$33))</f>
        <v/>
      </c>
    </row>
    <row r="35" customFormat="false" ht="15" hidden="false" customHeight="false" outlineLevel="0" collapsed="false">
      <c r="A35" s="2" t="s">
        <v>103</v>
      </c>
    </row>
    <row r="37" customFormat="false" ht="39.55" hidden="false" customHeight="false" outlineLevel="0" collapsed="false">
      <c r="A37" s="13" t="s">
        <v>104</v>
      </c>
      <c r="B37" s="13" t="s">
        <v>105</v>
      </c>
      <c r="C37" s="13" t="s">
        <v>106</v>
      </c>
      <c r="D37" s="13" t="s">
        <v>107</v>
      </c>
    </row>
    <row r="38" customFormat="false" ht="15" hidden="false" customHeight="false" outlineLevel="0" collapsed="false">
      <c r="A38" s="8" t="s">
        <v>85</v>
      </c>
      <c r="B38" s="8" t="s">
        <v>108</v>
      </c>
      <c r="C38" s="18" t="n">
        <f aca="false">SUMIF($C$14:$C$33,A38,$Z$14:$Z$33)</f>
        <v>0.420349610482002</v>
      </c>
      <c r="D38" s="18" t="n">
        <f aca="false">IF(C38&gt;0,C38^(1-$B$7),0)</f>
        <v>0.834900631635067</v>
      </c>
    </row>
    <row r="39" customFormat="false" ht="15" hidden="false" customHeight="false" outlineLevel="0" collapsed="false">
      <c r="A39" s="8" t="s">
        <v>95</v>
      </c>
      <c r="B39" s="8" t="s">
        <v>109</v>
      </c>
      <c r="C39" s="18" t="n">
        <f aca="false">SUMIF($C$14:$C$33,A39,$Z$14:$Z$33)</f>
        <v>0.195331581282577</v>
      </c>
      <c r="D39" s="18" t="n">
        <f aca="false">IF(C39&gt;0,C39^(1-$B$7),0)</f>
        <v>0.711765677668246</v>
      </c>
    </row>
    <row r="40" customFormat="false" ht="15" hidden="false" customHeight="false" outlineLevel="0" collapsed="false">
      <c r="A40" s="8" t="s">
        <v>97</v>
      </c>
      <c r="B40" s="8" t="s">
        <v>110</v>
      </c>
      <c r="C40" s="18" t="n">
        <f aca="false">SUMIF($C$14:$C$33,A40,$Z$14:$Z$33)</f>
        <v>2.51612355054421</v>
      </c>
      <c r="D40" s="18" t="n">
        <f aca="false">IF(C40&gt;0,C40^(1-$B$7),0)</f>
        <v>1.21180685105077</v>
      </c>
    </row>
    <row r="42" customFormat="false" ht="15" hidden="false" customHeight="false" outlineLevel="0" collapsed="false">
      <c r="A42" s="8" t="s">
        <v>111</v>
      </c>
      <c r="B42" s="18" t="n">
        <f aca="false">1+SUM(D38:D40)</f>
        <v>3.75847316035408</v>
      </c>
    </row>
    <row r="43" customFormat="false" ht="15" hidden="false" customHeight="false" outlineLevel="0" collapsed="false">
      <c r="A43" s="8" t="s">
        <v>112</v>
      </c>
      <c r="B43" s="20" t="n">
        <f aca="false">SUM(AA14:AA33)</f>
        <v>0.733934510814548</v>
      </c>
    </row>
    <row r="44" customFormat="false" ht="15" hidden="false" customHeight="false" outlineLevel="0" collapsed="false">
      <c r="A44" s="8" t="s">
        <v>113</v>
      </c>
      <c r="B44" s="20" t="n">
        <f aca="false">B6*B43/(1-B6)</f>
        <v>0.0172778851061767</v>
      </c>
    </row>
    <row r="45" customFormat="false" ht="15" hidden="false" customHeight="false" outlineLevel="0" collapsed="false">
      <c r="A45" s="8" t="s">
        <v>114</v>
      </c>
      <c r="B45" s="18" t="n">
        <f aca="false">1+B44</f>
        <v>1.01727788510618</v>
      </c>
    </row>
    <row r="46" customFormat="false" ht="15" hidden="false" customHeight="false" outlineLevel="0" collapsed="false">
      <c r="A46" s="8" t="s">
        <v>115</v>
      </c>
      <c r="B46" s="22" t="n">
        <f aca="false">(B43+B44)/B45</f>
        <v>0.738453481510923</v>
      </c>
    </row>
    <row r="47" customFormat="false" ht="15" hidden="false" customHeight="false" outlineLevel="0" collapsed="false">
      <c r="A47" s="8" t="s">
        <v>116</v>
      </c>
      <c r="B47" s="20" t="n">
        <f aca="false">(1/B42)/B45</f>
        <v>0.261546518489077</v>
      </c>
    </row>
    <row r="48" customFormat="false" ht="15" hidden="false" customHeight="false" outlineLevel="0" collapsed="false">
      <c r="A48" s="8" t="s">
        <v>117</v>
      </c>
      <c r="B48" s="2" t="str">
        <f aca="false">INDEX(A14:A33,MATCH(1,AD14:AD33,0))</f>
        <v>Ensemble</v>
      </c>
    </row>
    <row r="49" customFormat="false" ht="15" hidden="false" customHeight="false" outlineLevel="0" collapsed="false">
      <c r="A49" s="8" t="s">
        <v>118</v>
      </c>
      <c r="B49" s="2" t="str">
        <f aca="false">INDEX(A14:A33,MATCH(2,AD14:AD33,0))</f>
        <v>RN</v>
      </c>
    </row>
    <row r="51" customFormat="false" ht="15" hidden="false" customHeight="false" outlineLevel="0" collapsed="false">
      <c r="A51" s="7" t="s">
        <v>119</v>
      </c>
    </row>
  </sheetData>
  <dataValidations count="3">
    <dataValidation allowBlank="true" errorStyle="stop" operator="between" showDropDown="false" showErrorMessage="false" showInputMessage="false" sqref="B14:B33" type="list">
      <formula1>"LONPA,LFI,PCF,EELV,PS,NUPES,NFP,ENS,LR,UDR,DLF,RN,REC,UPR,NEW"</formula1>
      <formula2>0</formula2>
    </dataValidation>
    <dataValidation allowBlank="true" errorStyle="stop" operator="between" showDropDown="false" showErrorMessage="false" showInputMessage="false" sqref="C14:C33" type="list">
      <formula1>"L,C,R"</formula1>
      <formula2>0</formula2>
    </dataValidation>
    <dataValidation allowBlank="true" errorStyle="stop" operator="between" showDropDown="false" showErrorMessage="false" showInputMessage="false" sqref="E14:Q33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6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" t="s">
        <v>120</v>
      </c>
    </row>
    <row r="2" customFormat="false" ht="15" hidden="false" customHeight="false" outlineLevel="0" collapsed="false">
      <c r="A2" s="7" t="s">
        <v>121</v>
      </c>
    </row>
    <row r="4" customFormat="false" ht="26.85" hidden="false" customHeight="false" outlineLevel="0" collapsed="false">
      <c r="A4" s="13" t="s">
        <v>122</v>
      </c>
      <c r="B4" s="13" t="s">
        <v>123</v>
      </c>
      <c r="C4" s="13" t="s">
        <v>124</v>
      </c>
      <c r="D4" s="13" t="s">
        <v>125</v>
      </c>
      <c r="E4" s="13" t="s">
        <v>126</v>
      </c>
      <c r="F4" s="13" t="s">
        <v>127</v>
      </c>
      <c r="G4" s="13" t="s">
        <v>128</v>
      </c>
      <c r="H4" s="13" t="s">
        <v>129</v>
      </c>
      <c r="I4" s="13" t="s">
        <v>130</v>
      </c>
    </row>
    <row r="5" customFormat="false" ht="15" hidden="false" customHeight="false" outlineLevel="0" collapsed="false">
      <c r="A5" s="23" t="s">
        <v>131</v>
      </c>
      <c r="B5" s="23" t="s">
        <v>132</v>
      </c>
      <c r="C5" s="23" t="s">
        <v>133</v>
      </c>
      <c r="D5" s="23" t="s">
        <v>134</v>
      </c>
      <c r="E5" s="24" t="n">
        <v>47582183</v>
      </c>
      <c r="F5" s="24" t="n">
        <v>36054394</v>
      </c>
      <c r="G5" s="25" t="n">
        <f aca="false">SUMIF(Votes!$A:$A,A5,Votes!$D:$D)</f>
        <v>35553507</v>
      </c>
      <c r="H5" s="21" t="n">
        <f aca="false">F5-G5</f>
        <v>500887</v>
      </c>
      <c r="I5" s="20" t="n">
        <f aca="false">1-F5/E5</f>
        <v>0.242271124887229</v>
      </c>
    </row>
    <row r="6" customFormat="false" ht="15" hidden="false" customHeight="false" outlineLevel="0" collapsed="false">
      <c r="A6" s="23" t="s">
        <v>135</v>
      </c>
      <c r="B6" s="23" t="s">
        <v>136</v>
      </c>
      <c r="C6" s="23" t="s">
        <v>85</v>
      </c>
      <c r="D6" s="23" t="s">
        <v>134</v>
      </c>
      <c r="E6" s="24" t="n">
        <v>47570988</v>
      </c>
      <c r="F6" s="24" t="n">
        <v>22654164</v>
      </c>
      <c r="G6" s="25" t="n">
        <f aca="false">SUMIF(Votes!$A:$A,A6,Votes!$D:$D)</f>
        <v>20787549</v>
      </c>
      <c r="H6" s="21" t="n">
        <f aca="false">F6-G6</f>
        <v>1866615</v>
      </c>
      <c r="I6" s="20" t="n">
        <f aca="false">1-F6/E6</f>
        <v>0.523781931962397</v>
      </c>
    </row>
    <row r="7" customFormat="false" ht="15" hidden="false" customHeight="false" outlineLevel="0" collapsed="false">
      <c r="A7" s="23" t="s">
        <v>137</v>
      </c>
      <c r="B7" s="23" t="s">
        <v>138</v>
      </c>
      <c r="C7" s="23" t="s">
        <v>139</v>
      </c>
      <c r="D7" s="23" t="s">
        <v>134</v>
      </c>
      <c r="E7" s="24" t="n">
        <v>47345328</v>
      </c>
      <c r="F7" s="24" t="n">
        <v>22655174</v>
      </c>
      <c r="G7" s="25" t="n">
        <f aca="false">SUMIF(Votes!$A:$A,A7,Votes!$D:$D)</f>
        <v>20122507</v>
      </c>
      <c r="H7" s="21" t="n">
        <f aca="false">F7-G7</f>
        <v>2532667</v>
      </c>
      <c r="I7" s="20" t="n">
        <f aca="false">1-F7/E7</f>
        <v>0.521490821649815</v>
      </c>
    </row>
    <row r="8" customFormat="false" ht="15" hidden="false" customHeight="false" outlineLevel="0" collapsed="false">
      <c r="A8" s="23" t="s">
        <v>140</v>
      </c>
      <c r="B8" s="23" t="s">
        <v>141</v>
      </c>
      <c r="C8" s="23" t="s">
        <v>133</v>
      </c>
      <c r="D8" s="23" t="s">
        <v>142</v>
      </c>
      <c r="E8" s="24" t="n">
        <v>48747876</v>
      </c>
      <c r="F8" s="24" t="n">
        <v>35132947</v>
      </c>
      <c r="G8" s="25" t="n">
        <f aca="false">SUMIF(Votes!$A:$A,A8,Votes!$D:$D)</f>
        <v>34031560</v>
      </c>
      <c r="H8" s="21" t="n">
        <f aca="false">F8-G8</f>
        <v>1101387</v>
      </c>
      <c r="I8" s="20" t="n">
        <f aca="false">1-F8/E8</f>
        <v>0.279292763442658</v>
      </c>
    </row>
    <row r="9" customFormat="false" ht="15" hidden="false" customHeight="false" outlineLevel="0" collapsed="false">
      <c r="A9" s="23" t="s">
        <v>143</v>
      </c>
      <c r="B9" s="23" t="s">
        <v>144</v>
      </c>
      <c r="C9" s="23" t="s">
        <v>85</v>
      </c>
      <c r="D9" s="23" t="s">
        <v>142</v>
      </c>
      <c r="E9" s="24" t="n">
        <v>48953748</v>
      </c>
      <c r="F9" s="24" t="n">
        <v>22744708</v>
      </c>
      <c r="G9" s="25" t="n">
        <f aca="false">SUMIF(Votes!$A:$A,A9,Votes!$D:$D)</f>
        <v>19741669</v>
      </c>
      <c r="H9" s="21" t="n">
        <f aca="false">F9-G9</f>
        <v>3003039</v>
      </c>
      <c r="I9" s="20" t="n">
        <f aca="false">1-F9/E9</f>
        <v>0.535383725879375</v>
      </c>
    </row>
    <row r="10" customFormat="false" ht="15" hidden="false" customHeight="false" outlineLevel="0" collapsed="false">
      <c r="A10" s="23" t="s">
        <v>145</v>
      </c>
      <c r="B10" s="23" t="s">
        <v>146</v>
      </c>
      <c r="C10" s="23" t="s">
        <v>139</v>
      </c>
      <c r="D10" s="23" t="s">
        <v>142</v>
      </c>
      <c r="E10" s="24" t="n">
        <v>49462981</v>
      </c>
      <c r="F10" s="24" t="n">
        <v>24753773</v>
      </c>
      <c r="G10" s="25" t="n">
        <f aca="false">SUMIF(Votes!$A:$A,A10,Votes!$D:$D)</f>
        <v>22987690</v>
      </c>
      <c r="H10" s="21" t="n">
        <f aca="false">F10-G10</f>
        <v>1766083</v>
      </c>
      <c r="I10" s="20" t="n">
        <f aca="false">1-F10/E10</f>
        <v>0.499549511583218</v>
      </c>
    </row>
    <row r="11" customFormat="false" ht="15" hidden="false" customHeight="false" outlineLevel="0" collapsed="false">
      <c r="A11" s="23" t="s">
        <v>147</v>
      </c>
      <c r="B11" s="23" t="s">
        <v>148</v>
      </c>
      <c r="C11" s="23" t="s">
        <v>85</v>
      </c>
      <c r="D11" s="23" t="s">
        <v>142</v>
      </c>
      <c r="E11" s="24" t="n">
        <v>49332709</v>
      </c>
      <c r="F11" s="24" t="n">
        <v>32057946</v>
      </c>
      <c r="G11" s="25" t="n">
        <f aca="false">SUMIF(Votes!$A:$A,A11,Votes!$D:$D)</f>
        <v>29012208</v>
      </c>
      <c r="H11" s="21" t="n">
        <f aca="false">F11-G11</f>
        <v>3045738</v>
      </c>
      <c r="I11" s="20" t="n">
        <f aca="false">1-F11/E11</f>
        <v>0.35016854638978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6"/>
    <col collapsed="false" customWidth="true" hidden="false" outlineLevel="0" max="6" min="6" style="0" width="13"/>
    <col collapsed="false" customWidth="true" hidden="false" outlineLevel="0" max="11" min="7" style="0" width="10"/>
    <col collapsed="false" customWidth="true" hidden="false" outlineLevel="0" max="12" min="12" style="0" width="50"/>
  </cols>
  <sheetData>
    <row r="1" customFormat="false" ht="17.35" hidden="false" customHeight="false" outlineLevel="0" collapsed="false">
      <c r="A1" s="1" t="s">
        <v>149</v>
      </c>
    </row>
    <row r="2" customFormat="false" ht="15" hidden="false" customHeight="false" outlineLevel="0" collapsed="false">
      <c r="A2" s="7" t="s">
        <v>150</v>
      </c>
    </row>
    <row r="4" customFormat="false" ht="26.85" hidden="false" customHeight="false" outlineLevel="0" collapsed="false">
      <c r="A4" s="13" t="s">
        <v>122</v>
      </c>
      <c r="B4" s="13" t="s">
        <v>151</v>
      </c>
      <c r="C4" s="13" t="s">
        <v>152</v>
      </c>
      <c r="D4" s="13" t="s">
        <v>4</v>
      </c>
      <c r="E4" s="13" t="s">
        <v>104</v>
      </c>
      <c r="F4" s="13" t="s">
        <v>126</v>
      </c>
      <c r="G4" s="13" t="s">
        <v>153</v>
      </c>
      <c r="H4" s="13" t="s">
        <v>130</v>
      </c>
      <c r="I4" s="13" t="s">
        <v>154</v>
      </c>
      <c r="J4" s="13" t="s">
        <v>155</v>
      </c>
      <c r="K4" s="13" t="s">
        <v>156</v>
      </c>
      <c r="L4" s="13" t="s">
        <v>38</v>
      </c>
    </row>
    <row r="5" customFormat="false" ht="15" hidden="false" customHeight="false" outlineLevel="0" collapsed="false">
      <c r="A5" s="23" t="s">
        <v>131</v>
      </c>
      <c r="B5" s="23" t="s">
        <v>94</v>
      </c>
      <c r="C5" s="23" t="s">
        <v>93</v>
      </c>
      <c r="D5" s="24" t="n">
        <v>8656346</v>
      </c>
      <c r="E5" s="23" t="s">
        <v>95</v>
      </c>
      <c r="F5" s="25" t="n">
        <f aca="false">INDEX(Elections!$E:$E,MATCH(A5,Elections!$A:$A,0))</f>
        <v>47582183</v>
      </c>
      <c r="G5" s="19" t="n">
        <f aca="false">D5/F5</f>
        <v>0.18192410381844</v>
      </c>
      <c r="H5" s="26" t="n">
        <f aca="false">INDEX(Elections!$I:$I,MATCH(A5,Elections!$A:$A,0))</f>
        <v>0.242271124887229</v>
      </c>
      <c r="I5" s="17" t="n">
        <f aca="false">LN(G5)-LN(H5)</f>
        <v>-0.286467861689267</v>
      </c>
      <c r="J5" s="19" t="n">
        <f aca="false">SUMIFS($G:$G,$A:$A,A5,$E:$E,E5)</f>
        <v>0.18192410381844</v>
      </c>
      <c r="K5" s="17" t="n">
        <f aca="false">LN(G5/J5)</f>
        <v>0</v>
      </c>
    </row>
    <row r="6" customFormat="false" ht="15" hidden="false" customHeight="false" outlineLevel="0" collapsed="false">
      <c r="A6" s="23" t="s">
        <v>131</v>
      </c>
      <c r="B6" s="23" t="s">
        <v>100</v>
      </c>
      <c r="C6" s="23" t="s">
        <v>100</v>
      </c>
      <c r="D6" s="24" t="n">
        <v>7678491</v>
      </c>
      <c r="E6" s="23" t="s">
        <v>97</v>
      </c>
      <c r="F6" s="25" t="n">
        <f aca="false">INDEX(Elections!$E:$E,MATCH(A6,Elections!$A:$A,0))</f>
        <v>47582183</v>
      </c>
      <c r="G6" s="19" t="n">
        <f aca="false">D6/F6</f>
        <v>0.161373239222757</v>
      </c>
      <c r="H6" s="26" t="n">
        <f aca="false">INDEX(Elections!$I:$I,MATCH(A6,Elections!$A:$A,0))</f>
        <v>0.242271124887229</v>
      </c>
      <c r="I6" s="17" t="n">
        <f aca="false">LN(G6)-LN(H6)</f>
        <v>-0.406337511789093</v>
      </c>
      <c r="J6" s="19" t="n">
        <f aca="false">SUMIFS($G:$G,$A:$A,A6,$E:$E,E6)</f>
        <v>0.355574963847287</v>
      </c>
      <c r="K6" s="17" t="n">
        <f aca="false">LN(G6/J6)</f>
        <v>-0.790016157765646</v>
      </c>
    </row>
    <row r="7" customFormat="false" ht="15" hidden="false" customHeight="false" outlineLevel="0" collapsed="false">
      <c r="A7" s="23" t="s">
        <v>131</v>
      </c>
      <c r="B7" s="23" t="s">
        <v>96</v>
      </c>
      <c r="C7" s="23" t="s">
        <v>96</v>
      </c>
      <c r="D7" s="24" t="n">
        <v>7212995</v>
      </c>
      <c r="E7" s="23" t="s">
        <v>97</v>
      </c>
      <c r="F7" s="25" t="n">
        <f aca="false">INDEX(Elections!$E:$E,MATCH(A7,Elections!$A:$A,0))</f>
        <v>47582183</v>
      </c>
      <c r="G7" s="19" t="n">
        <f aca="false">D7/F7</f>
        <v>0.151590249652901</v>
      </c>
      <c r="H7" s="26" t="n">
        <f aca="false">INDEX(Elections!$I:$I,MATCH(A7,Elections!$A:$A,0))</f>
        <v>0.242271124887229</v>
      </c>
      <c r="I7" s="17" t="n">
        <f aca="false">LN(G7)-LN(H7)</f>
        <v>-0.468876294939641</v>
      </c>
      <c r="J7" s="19" t="n">
        <f aca="false">SUMIFS($G:$G,$A:$A,A7,$E:$E,E7)</f>
        <v>0.355574963847287</v>
      </c>
      <c r="K7" s="17" t="n">
        <f aca="false">LN(G7/J7)</f>
        <v>-0.852554940916194</v>
      </c>
    </row>
    <row r="8" customFormat="false" ht="15" hidden="false" customHeight="false" outlineLevel="0" collapsed="false">
      <c r="A8" s="23" t="s">
        <v>131</v>
      </c>
      <c r="B8" s="23" t="s">
        <v>87</v>
      </c>
      <c r="C8" s="23" t="s">
        <v>86</v>
      </c>
      <c r="D8" s="24" t="n">
        <v>7059951</v>
      </c>
      <c r="E8" s="23" t="s">
        <v>85</v>
      </c>
      <c r="F8" s="25" t="n">
        <f aca="false">INDEX(Elections!$E:$E,MATCH(A8,Elections!$A:$A,0))</f>
        <v>47582183</v>
      </c>
      <c r="G8" s="19" t="n">
        <f aca="false">D8/F8</f>
        <v>0.14837383564348</v>
      </c>
      <c r="H8" s="26" t="n">
        <f aca="false">INDEX(Elections!$I:$I,MATCH(A8,Elections!$A:$A,0))</f>
        <v>0.242271124887229</v>
      </c>
      <c r="I8" s="17" t="n">
        <f aca="false">LN(G8)-LN(H8)</f>
        <v>-0.49032244429694</v>
      </c>
      <c r="J8" s="19" t="n">
        <f aca="false">SUMIFS($G:$G,$A:$A,A8,$E:$E,E8)</f>
        <v>0.209703031069424</v>
      </c>
      <c r="K8" s="17" t="n">
        <f aca="false">LN(G8/J8)</f>
        <v>-0.345957386607503</v>
      </c>
    </row>
    <row r="9" customFormat="false" ht="15" hidden="false" customHeight="false" outlineLevel="0" collapsed="false">
      <c r="A9" s="23" t="s">
        <v>131</v>
      </c>
      <c r="B9" s="23" t="s">
        <v>92</v>
      </c>
      <c r="C9" s="23" t="s">
        <v>91</v>
      </c>
      <c r="D9" s="24" t="n">
        <v>2291288</v>
      </c>
      <c r="E9" s="23" t="s">
        <v>85</v>
      </c>
      <c r="F9" s="25" t="n">
        <f aca="false">INDEX(Elections!$E:$E,MATCH(A9,Elections!$A:$A,0))</f>
        <v>47582183</v>
      </c>
      <c r="G9" s="19" t="n">
        <f aca="false">D9/F9</f>
        <v>0.0481543270093346</v>
      </c>
      <c r="H9" s="26" t="n">
        <f aca="false">INDEX(Elections!$I:$I,MATCH(A9,Elections!$A:$A,0))</f>
        <v>0.242271124887229</v>
      </c>
      <c r="I9" s="17" t="n">
        <f aca="false">LN(G9)-LN(H9)</f>
        <v>-1.61564645040023</v>
      </c>
      <c r="J9" s="19" t="n">
        <f aca="false">SUMIFS($G:$G,$A:$A,A9,$E:$E,E9)</f>
        <v>0.209703031069424</v>
      </c>
      <c r="K9" s="17" t="n">
        <f aca="false">LN(G9/J9)</f>
        <v>-1.4712813927108</v>
      </c>
    </row>
    <row r="10" customFormat="false" ht="15" hidden="false" customHeight="false" outlineLevel="0" collapsed="false">
      <c r="A10" s="23" t="s">
        <v>131</v>
      </c>
      <c r="B10" s="23" t="s">
        <v>99</v>
      </c>
      <c r="C10" s="23" t="s">
        <v>98</v>
      </c>
      <c r="D10" s="24" t="n">
        <v>1695000</v>
      </c>
      <c r="E10" s="23" t="s">
        <v>97</v>
      </c>
      <c r="F10" s="25" t="n">
        <f aca="false">INDEX(Elections!$E:$E,MATCH(A10,Elections!$A:$A,0))</f>
        <v>47582183</v>
      </c>
      <c r="G10" s="19" t="n">
        <f aca="false">D10/F10</f>
        <v>0.0356225774677047</v>
      </c>
      <c r="H10" s="26" t="n">
        <f aca="false">INDEX(Elections!$I:$I,MATCH(A10,Elections!$A:$A,0))</f>
        <v>0.242271124887229</v>
      </c>
      <c r="I10" s="17" t="n">
        <f aca="false">LN(G10)-LN(H10)</f>
        <v>-1.91707781443568</v>
      </c>
      <c r="J10" s="19" t="n">
        <f aca="false">SUMIFS($G:$G,$A:$A,A10,$E:$E,E10)</f>
        <v>0.355574963847287</v>
      </c>
      <c r="K10" s="17" t="n">
        <f aca="false">LN(G10/J10)</f>
        <v>-2.30075646041223</v>
      </c>
    </row>
    <row r="11" customFormat="false" ht="15" hidden="false" customHeight="false" outlineLevel="0" collapsed="false">
      <c r="A11" s="23" t="s">
        <v>131</v>
      </c>
      <c r="B11" s="23" t="s">
        <v>84</v>
      </c>
      <c r="C11" s="23" t="s">
        <v>83</v>
      </c>
      <c r="D11" s="24" t="n">
        <v>626889</v>
      </c>
      <c r="E11" s="23" t="s">
        <v>85</v>
      </c>
      <c r="F11" s="25" t="n">
        <f aca="false">INDEX(Elections!$E:$E,MATCH(A11,Elections!$A:$A,0))</f>
        <v>47582183</v>
      </c>
      <c r="G11" s="19" t="n">
        <f aca="false">D11/F11</f>
        <v>0.0131748684166088</v>
      </c>
      <c r="H11" s="26" t="n">
        <f aca="false">INDEX(Elections!$I:$I,MATCH(A11,Elections!$A:$A,0))</f>
        <v>0.242271124887229</v>
      </c>
      <c r="I11" s="17" t="n">
        <f aca="false">LN(G11)-LN(H11)</f>
        <v>-2.91174634278241</v>
      </c>
      <c r="J11" s="19" t="n">
        <f aca="false">SUMIFS($G:$G,$A:$A,A11,$E:$E,E11)</f>
        <v>0.209703031069424</v>
      </c>
      <c r="K11" s="17" t="n">
        <f aca="false">LN(G11/J11)</f>
        <v>-2.76738128509297</v>
      </c>
    </row>
    <row r="12" customFormat="false" ht="15" hidden="false" customHeight="false" outlineLevel="0" collapsed="false">
      <c r="A12" s="23" t="s">
        <v>131</v>
      </c>
      <c r="B12" s="23" t="s">
        <v>157</v>
      </c>
      <c r="C12" s="23" t="s">
        <v>158</v>
      </c>
      <c r="D12" s="24" t="n">
        <v>332547</v>
      </c>
      <c r="E12" s="23" t="s">
        <v>97</v>
      </c>
      <c r="F12" s="25" t="n">
        <f aca="false">INDEX(Elections!$E:$E,MATCH(A12,Elections!$A:$A,0))</f>
        <v>47582183</v>
      </c>
      <c r="G12" s="19" t="n">
        <f aca="false">D12/F12</f>
        <v>0.00698889750392495</v>
      </c>
      <c r="H12" s="26" t="n">
        <f aca="false">INDEX(Elections!$I:$I,MATCH(A12,Elections!$A:$A,0))</f>
        <v>0.242271124887229</v>
      </c>
      <c r="I12" s="17" t="n">
        <f aca="false">LN(G12)-LN(H12)</f>
        <v>-3.54573463076031</v>
      </c>
      <c r="J12" s="19" t="n">
        <f aca="false">SUMIFS($G:$G,$A:$A,A12,$E:$E,E12)</f>
        <v>0.355574963847287</v>
      </c>
      <c r="K12" s="17" t="n">
        <f aca="false">LN(G12/J12)</f>
        <v>-3.92941327673686</v>
      </c>
    </row>
    <row r="13" customFormat="false" ht="15" hidden="false" customHeight="false" outlineLevel="0" collapsed="false">
      <c r="A13" s="23" t="s">
        <v>135</v>
      </c>
      <c r="B13" s="23" t="s">
        <v>94</v>
      </c>
      <c r="C13" s="23" t="s">
        <v>93</v>
      </c>
      <c r="D13" s="24" t="n">
        <v>7323496</v>
      </c>
      <c r="E13" s="23" t="s">
        <v>95</v>
      </c>
      <c r="F13" s="25" t="n">
        <f aca="false">INDEX(Elections!$E:$E,MATCH(A13,Elections!$A:$A,0))</f>
        <v>47570988</v>
      </c>
      <c r="G13" s="19" t="n">
        <f aca="false">D13/F13</f>
        <v>0.15394878912332</v>
      </c>
      <c r="H13" s="26" t="n">
        <f aca="false">INDEX(Elections!$I:$I,MATCH(A13,Elections!$A:$A,0))</f>
        <v>0.523781931962397</v>
      </c>
      <c r="I13" s="17" t="n">
        <f aca="false">LN(G13)-LN(H13)</f>
        <v>-1.22445542837488</v>
      </c>
      <c r="J13" s="19" t="n">
        <f aca="false">SUMIFS($G:$G,$A:$A,A13,$E:$E,E13)</f>
        <v>0.15394878912332</v>
      </c>
      <c r="K13" s="17" t="n">
        <f aca="false">LN(G13/J13)</f>
        <v>0</v>
      </c>
      <c r="L13" s="7" t="s">
        <v>159</v>
      </c>
    </row>
    <row r="14" customFormat="false" ht="15" hidden="false" customHeight="false" outlineLevel="0" collapsed="false">
      <c r="A14" s="23" t="s">
        <v>135</v>
      </c>
      <c r="B14" s="23" t="s">
        <v>96</v>
      </c>
      <c r="C14" s="23" t="s">
        <v>96</v>
      </c>
      <c r="D14" s="24" t="n">
        <v>4260652</v>
      </c>
      <c r="E14" s="23" t="s">
        <v>97</v>
      </c>
      <c r="F14" s="25" t="n">
        <f aca="false">INDEX(Elections!$E:$E,MATCH(A14,Elections!$A:$A,0))</f>
        <v>47570988</v>
      </c>
      <c r="G14" s="19" t="n">
        <f aca="false">D14/F14</f>
        <v>0.0895640847316436</v>
      </c>
      <c r="H14" s="26" t="n">
        <f aca="false">INDEX(Elections!$I:$I,MATCH(A14,Elections!$A:$A,0))</f>
        <v>0.523781931962397</v>
      </c>
      <c r="I14" s="17" t="n">
        <f aca="false">LN(G14)-LN(H14)</f>
        <v>-1.76612103775076</v>
      </c>
      <c r="J14" s="19" t="n">
        <f aca="false">SUMIFS($G:$G,$A:$A,A14,$E:$E,E14)</f>
        <v>0.158006514390662</v>
      </c>
      <c r="K14" s="17" t="n">
        <f aca="false">LN(G14/J14)</f>
        <v>-0.567681862923247</v>
      </c>
      <c r="L14" s="7" t="s">
        <v>160</v>
      </c>
    </row>
    <row r="15" customFormat="false" ht="15" hidden="false" customHeight="false" outlineLevel="0" collapsed="false">
      <c r="A15" s="23" t="s">
        <v>135</v>
      </c>
      <c r="B15" s="23" t="s">
        <v>100</v>
      </c>
      <c r="C15" s="23" t="s">
        <v>100</v>
      </c>
      <c r="D15" s="24" t="n">
        <v>2990454</v>
      </c>
      <c r="E15" s="23" t="s">
        <v>97</v>
      </c>
      <c r="F15" s="25" t="n">
        <f aca="false">INDEX(Elections!$E:$E,MATCH(A15,Elections!$A:$A,0))</f>
        <v>47570988</v>
      </c>
      <c r="G15" s="19" t="n">
        <f aca="false">D15/F15</f>
        <v>0.0628629785868648</v>
      </c>
      <c r="H15" s="26" t="n">
        <f aca="false">INDEX(Elections!$I:$I,MATCH(A15,Elections!$A:$A,0))</f>
        <v>0.523781931962397</v>
      </c>
      <c r="I15" s="17" t="n">
        <f aca="false">LN(G15)-LN(H15)</f>
        <v>-2.12011802262299</v>
      </c>
      <c r="J15" s="19" t="n">
        <f aca="false">SUMIFS($G:$G,$A:$A,A15,$E:$E,E15)</f>
        <v>0.158006514390662</v>
      </c>
      <c r="K15" s="17" t="n">
        <f aca="false">LN(G15/J15)</f>
        <v>-0.921678847795478</v>
      </c>
    </row>
    <row r="16" customFormat="false" ht="15" hidden="false" customHeight="false" outlineLevel="0" collapsed="false">
      <c r="A16" s="23" t="s">
        <v>135</v>
      </c>
      <c r="B16" s="23" t="s">
        <v>87</v>
      </c>
      <c r="C16" s="23" t="s">
        <v>86</v>
      </c>
      <c r="D16" s="24" t="n">
        <v>2497622</v>
      </c>
      <c r="E16" s="23" t="s">
        <v>85</v>
      </c>
      <c r="F16" s="25" t="n">
        <f aca="false">INDEX(Elections!$E:$E,MATCH(A16,Elections!$A:$A,0))</f>
        <v>47570988</v>
      </c>
      <c r="G16" s="19" t="n">
        <f aca="false">D16/F16</f>
        <v>0.0525030508090351</v>
      </c>
      <c r="H16" s="26" t="n">
        <f aca="false">INDEX(Elections!$I:$I,MATCH(A16,Elections!$A:$A,0))</f>
        <v>0.523781931962397</v>
      </c>
      <c r="I16" s="17" t="n">
        <f aca="false">LN(G16)-LN(H16)</f>
        <v>-2.30020415876767</v>
      </c>
      <c r="J16" s="19" t="n">
        <f aca="false">SUMIFS($G:$G,$A:$A,A16,$E:$E,E16)</f>
        <v>0.125024247972315</v>
      </c>
      <c r="K16" s="17" t="n">
        <f aca="false">LN(G16/J16)</f>
        <v>-0.867636423710889</v>
      </c>
    </row>
    <row r="17" customFormat="false" ht="15" hidden="false" customHeight="false" outlineLevel="0" collapsed="false">
      <c r="A17" s="23" t="s">
        <v>135</v>
      </c>
      <c r="B17" s="23" t="s">
        <v>92</v>
      </c>
      <c r="C17" s="23" t="s">
        <v>91</v>
      </c>
      <c r="D17" s="24" t="n">
        <v>1685677</v>
      </c>
      <c r="E17" s="23" t="s">
        <v>85</v>
      </c>
      <c r="F17" s="25" t="n">
        <f aca="false">INDEX(Elections!$E:$E,MATCH(A17,Elections!$A:$A,0))</f>
        <v>47570988</v>
      </c>
      <c r="G17" s="19" t="n">
        <f aca="false">D17/F17</f>
        <v>0.0354349798242576</v>
      </c>
      <c r="H17" s="26" t="n">
        <f aca="false">INDEX(Elections!$I:$I,MATCH(A17,Elections!$A:$A,0))</f>
        <v>0.523781931962397</v>
      </c>
      <c r="I17" s="17" t="n">
        <f aca="false">LN(G17)-LN(H17)</f>
        <v>-2.6933759744364</v>
      </c>
      <c r="J17" s="19" t="n">
        <f aca="false">SUMIFS($G:$G,$A:$A,A17,$E:$E,E17)</f>
        <v>0.125024247972315</v>
      </c>
      <c r="K17" s="17" t="n">
        <f aca="false">LN(G17/J17)</f>
        <v>-1.26080823937963</v>
      </c>
      <c r="L17" s="7" t="s">
        <v>161</v>
      </c>
    </row>
    <row r="18" customFormat="false" ht="15" hidden="false" customHeight="false" outlineLevel="0" collapsed="false">
      <c r="A18" s="23" t="s">
        <v>135</v>
      </c>
      <c r="B18" s="23" t="s">
        <v>90</v>
      </c>
      <c r="C18" s="23" t="s">
        <v>89</v>
      </c>
      <c r="D18" s="24" t="n">
        <v>973527</v>
      </c>
      <c r="E18" s="23" t="s">
        <v>85</v>
      </c>
      <c r="F18" s="25" t="n">
        <f aca="false">INDEX(Elections!$E:$E,MATCH(A18,Elections!$A:$A,0))</f>
        <v>47570988</v>
      </c>
      <c r="G18" s="19" t="n">
        <f aca="false">D18/F18</f>
        <v>0.0204647210606599</v>
      </c>
      <c r="H18" s="26" t="n">
        <f aca="false">INDEX(Elections!$I:$I,MATCH(A18,Elections!$A:$A,0))</f>
        <v>0.523781931962397</v>
      </c>
      <c r="I18" s="17" t="n">
        <f aca="false">LN(G18)-LN(H18)</f>
        <v>-3.24237295754162</v>
      </c>
      <c r="J18" s="19" t="n">
        <f aca="false">SUMIFS($G:$G,$A:$A,A18,$E:$E,E18)</f>
        <v>0.125024247972315</v>
      </c>
      <c r="K18" s="17" t="n">
        <f aca="false">LN(G18/J18)</f>
        <v>-1.80980522248485</v>
      </c>
      <c r="L18" s="7" t="s">
        <v>161</v>
      </c>
    </row>
    <row r="19" customFormat="false" ht="15" hidden="false" customHeight="false" outlineLevel="0" collapsed="false">
      <c r="A19" s="23" t="s">
        <v>135</v>
      </c>
      <c r="B19" s="23" t="s">
        <v>88</v>
      </c>
      <c r="C19" s="23" t="s">
        <v>88</v>
      </c>
      <c r="D19" s="24" t="n">
        <v>615487</v>
      </c>
      <c r="E19" s="23" t="s">
        <v>85</v>
      </c>
      <c r="F19" s="25" t="n">
        <f aca="false">INDEX(Elections!$E:$E,MATCH(A19,Elections!$A:$A,0))</f>
        <v>47570988</v>
      </c>
      <c r="G19" s="19" t="n">
        <f aca="false">D19/F19</f>
        <v>0.0129382849900027</v>
      </c>
      <c r="H19" s="26" t="n">
        <f aca="false">INDEX(Elections!$I:$I,MATCH(A19,Elections!$A:$A,0))</f>
        <v>0.523781931962397</v>
      </c>
      <c r="I19" s="17" t="n">
        <f aca="false">LN(G19)-LN(H19)</f>
        <v>-3.70088469258451</v>
      </c>
      <c r="J19" s="19" t="n">
        <f aca="false">SUMIFS($G:$G,$A:$A,A19,$E:$E,E19)</f>
        <v>0.125024247972315</v>
      </c>
      <c r="K19" s="17" t="n">
        <f aca="false">LN(G19/J19)</f>
        <v>-2.26831695752773</v>
      </c>
      <c r="L19" s="7" t="s">
        <v>161</v>
      </c>
    </row>
    <row r="20" customFormat="false" ht="15" hidden="false" customHeight="false" outlineLevel="0" collapsed="false">
      <c r="A20" s="23" t="s">
        <v>135</v>
      </c>
      <c r="B20" s="23" t="s">
        <v>99</v>
      </c>
      <c r="C20" s="23" t="s">
        <v>98</v>
      </c>
      <c r="D20" s="24" t="n">
        <v>265420</v>
      </c>
      <c r="E20" s="23" t="s">
        <v>97</v>
      </c>
      <c r="F20" s="25" t="n">
        <f aca="false">INDEX(Elections!$E:$E,MATCH(A20,Elections!$A:$A,0))</f>
        <v>47570988</v>
      </c>
      <c r="G20" s="19" t="n">
        <f aca="false">D20/F20</f>
        <v>0.00557945107215347</v>
      </c>
      <c r="H20" s="26" t="n">
        <f aca="false">INDEX(Elections!$I:$I,MATCH(A20,Elections!$A:$A,0))</f>
        <v>0.523781931962397</v>
      </c>
      <c r="I20" s="17" t="n">
        <f aca="false">LN(G20)-LN(H20)</f>
        <v>-4.54198503993706</v>
      </c>
      <c r="J20" s="19" t="n">
        <f aca="false">SUMIFS($G:$G,$A:$A,A20,$E:$E,E20)</f>
        <v>0.158006514390662</v>
      </c>
      <c r="K20" s="17" t="n">
        <f aca="false">LN(G20/J20)</f>
        <v>-3.34354586510955</v>
      </c>
      <c r="L20" s="7" t="s">
        <v>161</v>
      </c>
    </row>
    <row r="21" customFormat="false" ht="15" hidden="false" customHeight="false" outlineLevel="0" collapsed="false">
      <c r="A21" s="23" t="s">
        <v>135</v>
      </c>
      <c r="B21" s="23" t="s">
        <v>84</v>
      </c>
      <c r="C21" s="23" t="s">
        <v>83</v>
      </c>
      <c r="D21" s="24" t="n">
        <v>175214</v>
      </c>
      <c r="E21" s="23" t="s">
        <v>85</v>
      </c>
      <c r="F21" s="25" t="n">
        <f aca="false">INDEX(Elections!$E:$E,MATCH(A21,Elections!$A:$A,0))</f>
        <v>47570988</v>
      </c>
      <c r="G21" s="19" t="n">
        <f aca="false">D21/F21</f>
        <v>0.0036832112883592</v>
      </c>
      <c r="H21" s="26" t="n">
        <f aca="false">INDEX(Elections!$I:$I,MATCH(A21,Elections!$A:$A,0))</f>
        <v>0.523781931962397</v>
      </c>
      <c r="I21" s="17" t="n">
        <f aca="false">LN(G21)-LN(H21)</f>
        <v>-4.9572904329606</v>
      </c>
      <c r="J21" s="19" t="n">
        <f aca="false">SUMIFS($G:$G,$A:$A,A21,$E:$E,E21)</f>
        <v>0.125024247972315</v>
      </c>
      <c r="K21" s="17" t="n">
        <f aca="false">LN(G21/J21)</f>
        <v>-3.52472269790382</v>
      </c>
      <c r="L21" s="7" t="s">
        <v>162</v>
      </c>
    </row>
    <row r="22" customFormat="false" ht="15" hidden="false" customHeight="false" outlineLevel="0" collapsed="false">
      <c r="A22" s="23" t="s">
        <v>137</v>
      </c>
      <c r="B22" s="23" t="s">
        <v>100</v>
      </c>
      <c r="C22" s="23" t="s">
        <v>100</v>
      </c>
      <c r="D22" s="24" t="n">
        <v>5286939</v>
      </c>
      <c r="E22" s="23" t="s">
        <v>97</v>
      </c>
      <c r="F22" s="25" t="n">
        <f aca="false">INDEX(Elections!$E:$E,MATCH(A22,Elections!$A:$A,0))</f>
        <v>47345328</v>
      </c>
      <c r="G22" s="19" t="n">
        <f aca="false">D22/F22</f>
        <v>0.111667596853485</v>
      </c>
      <c r="H22" s="26" t="n">
        <f aca="false">INDEX(Elections!$I:$I,MATCH(A22,Elections!$A:$A,0))</f>
        <v>0.521490821649815</v>
      </c>
      <c r="I22" s="17" t="n">
        <f aca="false">LN(G22)-LN(H22)</f>
        <v>-1.541165101228</v>
      </c>
      <c r="J22" s="19" t="n">
        <f aca="false">SUMIFS($G:$G,$A:$A,A22,$E:$E,E22)</f>
        <v>0.177746429383698</v>
      </c>
      <c r="K22" s="17" t="n">
        <f aca="false">LN(G22/J22)</f>
        <v>-0.46483140747269</v>
      </c>
    </row>
    <row r="23" customFormat="false" ht="15" hidden="false" customHeight="false" outlineLevel="0" collapsed="false">
      <c r="A23" s="23" t="s">
        <v>137</v>
      </c>
      <c r="B23" s="23" t="s">
        <v>94</v>
      </c>
      <c r="C23" s="23" t="s">
        <v>93</v>
      </c>
      <c r="D23" s="24" t="n">
        <v>5079015</v>
      </c>
      <c r="E23" s="23" t="s">
        <v>95</v>
      </c>
      <c r="F23" s="25" t="n">
        <f aca="false">INDEX(Elections!$E:$E,MATCH(A23,Elections!$A:$A,0))</f>
        <v>47345328</v>
      </c>
      <c r="G23" s="19" t="n">
        <f aca="false">D23/F23</f>
        <v>0.10727594917074</v>
      </c>
      <c r="H23" s="26" t="n">
        <f aca="false">INDEX(Elections!$I:$I,MATCH(A23,Elections!$A:$A,0))</f>
        <v>0.521490821649815</v>
      </c>
      <c r="I23" s="17" t="n">
        <f aca="false">LN(G23)-LN(H23)</f>
        <v>-1.58128719552867</v>
      </c>
      <c r="J23" s="19" t="n">
        <f aca="false">SUMIFS($G:$G,$A:$A,A23,$E:$E,E23)</f>
        <v>0.10727594917074</v>
      </c>
      <c r="K23" s="17" t="n">
        <f aca="false">LN(G23/J23)</f>
        <v>0</v>
      </c>
    </row>
    <row r="24" customFormat="false" ht="15" hidden="false" customHeight="false" outlineLevel="0" collapsed="false">
      <c r="A24" s="23" t="s">
        <v>137</v>
      </c>
      <c r="B24" s="23" t="s">
        <v>90</v>
      </c>
      <c r="C24" s="23" t="s">
        <v>89</v>
      </c>
      <c r="D24" s="24" t="n">
        <v>3055023</v>
      </c>
      <c r="E24" s="23" t="s">
        <v>85</v>
      </c>
      <c r="F24" s="25" t="n">
        <f aca="false">INDEX(Elections!$E:$E,MATCH(A24,Elections!$A:$A,0))</f>
        <v>47345328</v>
      </c>
      <c r="G24" s="19" t="n">
        <f aca="false">D24/F24</f>
        <v>0.0645263879046313</v>
      </c>
      <c r="H24" s="26" t="n">
        <f aca="false">INDEX(Elections!$I:$I,MATCH(A24,Elections!$A:$A,0))</f>
        <v>0.521490821649815</v>
      </c>
      <c r="I24" s="17" t="n">
        <f aca="false">LN(G24)-LN(H24)</f>
        <v>-2.0896174194439</v>
      </c>
      <c r="J24" s="19" t="n">
        <f aca="false">SUMIFS($G:$G,$A:$A,A24,$E:$E,E24)</f>
        <v>0.139993306203307</v>
      </c>
      <c r="K24" s="17" t="n">
        <f aca="false">LN(G24/J24)</f>
        <v>-0.774520353695143</v>
      </c>
    </row>
    <row r="25" customFormat="false" ht="15" hidden="false" customHeight="false" outlineLevel="0" collapsed="false">
      <c r="A25" s="23" t="s">
        <v>137</v>
      </c>
      <c r="B25" s="23" t="s">
        <v>96</v>
      </c>
      <c r="C25" s="23" t="s">
        <v>96</v>
      </c>
      <c r="D25" s="24" t="n">
        <v>1920407</v>
      </c>
      <c r="E25" s="23" t="s">
        <v>97</v>
      </c>
      <c r="F25" s="25" t="n">
        <f aca="false">INDEX(Elections!$E:$E,MATCH(A25,Elections!$A:$A,0))</f>
        <v>47345328</v>
      </c>
      <c r="G25" s="19" t="n">
        <f aca="false">D25/F25</f>
        <v>0.0405617001956349</v>
      </c>
      <c r="H25" s="26" t="n">
        <f aca="false">INDEX(Elections!$I:$I,MATCH(A25,Elections!$A:$A,0))</f>
        <v>0.521490821649815</v>
      </c>
      <c r="I25" s="17" t="n">
        <f aca="false">LN(G25)-LN(H25)</f>
        <v>-2.55386739793874</v>
      </c>
      <c r="J25" s="19" t="n">
        <f aca="false">SUMIFS($G:$G,$A:$A,A25,$E:$E,E25)</f>
        <v>0.177746429383698</v>
      </c>
      <c r="K25" s="17" t="n">
        <f aca="false">LN(G25/J25)</f>
        <v>-1.47753370418343</v>
      </c>
    </row>
    <row r="26" customFormat="false" ht="15" hidden="false" customHeight="false" outlineLevel="0" collapsed="false">
      <c r="A26" s="23" t="s">
        <v>137</v>
      </c>
      <c r="B26" s="23" t="s">
        <v>87</v>
      </c>
      <c r="C26" s="23" t="s">
        <v>86</v>
      </c>
      <c r="D26" s="24" t="n">
        <v>1428548</v>
      </c>
      <c r="E26" s="23" t="s">
        <v>85</v>
      </c>
      <c r="F26" s="25" t="n">
        <f aca="false">INDEX(Elections!$E:$E,MATCH(A26,Elections!$A:$A,0))</f>
        <v>47345328</v>
      </c>
      <c r="G26" s="19" t="n">
        <f aca="false">D26/F26</f>
        <v>0.0301729454699311</v>
      </c>
      <c r="H26" s="26" t="n">
        <f aca="false">INDEX(Elections!$I:$I,MATCH(A26,Elections!$A:$A,0))</f>
        <v>0.521490821649815</v>
      </c>
      <c r="I26" s="17" t="n">
        <f aca="false">LN(G26)-LN(H26)</f>
        <v>-2.84974599687644</v>
      </c>
      <c r="J26" s="19" t="n">
        <f aca="false">SUMIFS($G:$G,$A:$A,A26,$E:$E,E26)</f>
        <v>0.139993306203307</v>
      </c>
      <c r="K26" s="17" t="n">
        <f aca="false">LN(G26/J26)</f>
        <v>-1.53464893112768</v>
      </c>
    </row>
    <row r="27" customFormat="false" ht="15" hidden="false" customHeight="false" outlineLevel="0" collapsed="false">
      <c r="A27" s="23" t="s">
        <v>137</v>
      </c>
      <c r="B27" s="23" t="s">
        <v>92</v>
      </c>
      <c r="C27" s="23" t="s">
        <v>91</v>
      </c>
      <c r="D27" s="24" t="n">
        <v>1403170</v>
      </c>
      <c r="E27" s="23" t="s">
        <v>85</v>
      </c>
      <c r="F27" s="25" t="n">
        <f aca="false">INDEX(Elections!$E:$E,MATCH(A27,Elections!$A:$A,0))</f>
        <v>47345328</v>
      </c>
      <c r="G27" s="19" t="n">
        <f aca="false">D27/F27</f>
        <v>0.0296369263721227</v>
      </c>
      <c r="H27" s="26" t="n">
        <f aca="false">INDEX(Elections!$I:$I,MATCH(A27,Elections!$A:$A,0))</f>
        <v>0.521490821649815</v>
      </c>
      <c r="I27" s="17" t="n">
        <f aca="false">LN(G27)-LN(H27)</f>
        <v>-2.86767057797699</v>
      </c>
      <c r="J27" s="19" t="n">
        <f aca="false">SUMIFS($G:$G,$A:$A,A27,$E:$E,E27)</f>
        <v>0.139993306203307</v>
      </c>
      <c r="K27" s="17" t="n">
        <f aca="false">LN(G27/J27)</f>
        <v>-1.55257351222823</v>
      </c>
      <c r="L27" s="7" t="s">
        <v>163</v>
      </c>
    </row>
    <row r="28" customFormat="false" ht="15" hidden="false" customHeight="false" outlineLevel="0" collapsed="false">
      <c r="A28" s="23" t="s">
        <v>137</v>
      </c>
      <c r="B28" s="23" t="s">
        <v>99</v>
      </c>
      <c r="C28" s="23" t="s">
        <v>98</v>
      </c>
      <c r="D28" s="24" t="n">
        <v>795508</v>
      </c>
      <c r="E28" s="23" t="s">
        <v>97</v>
      </c>
      <c r="F28" s="25" t="n">
        <f aca="false">INDEX(Elections!$E:$E,MATCH(A28,Elections!$A:$A,0))</f>
        <v>47345328</v>
      </c>
      <c r="G28" s="19" t="n">
        <f aca="false">D28/F28</f>
        <v>0.0168022492103128</v>
      </c>
      <c r="H28" s="26" t="n">
        <f aca="false">INDEX(Elections!$I:$I,MATCH(A28,Elections!$A:$A,0))</f>
        <v>0.521490821649815</v>
      </c>
      <c r="I28" s="17" t="n">
        <f aca="false">LN(G28)-LN(H28)</f>
        <v>-3.43517891536736</v>
      </c>
      <c r="J28" s="19" t="n">
        <f aca="false">SUMIFS($G:$G,$A:$A,A28,$E:$E,E28)</f>
        <v>0.177746429383698</v>
      </c>
      <c r="K28" s="17" t="n">
        <f aca="false">LN(G28/J28)</f>
        <v>-2.35884522161204</v>
      </c>
    </row>
    <row r="29" customFormat="false" ht="15" hidden="false" customHeight="false" outlineLevel="0" collapsed="false">
      <c r="A29" s="23" t="s">
        <v>137</v>
      </c>
      <c r="B29" s="23" t="s">
        <v>88</v>
      </c>
      <c r="C29" s="23" t="s">
        <v>88</v>
      </c>
      <c r="D29" s="24" t="n">
        <v>564949</v>
      </c>
      <c r="E29" s="23" t="s">
        <v>85</v>
      </c>
      <c r="F29" s="25" t="n">
        <f aca="false">INDEX(Elections!$E:$E,MATCH(A29,Elections!$A:$A,0))</f>
        <v>47345328</v>
      </c>
      <c r="G29" s="19" t="n">
        <f aca="false">D29/F29</f>
        <v>0.0119325184525071</v>
      </c>
      <c r="H29" s="26" t="n">
        <f aca="false">INDEX(Elections!$I:$I,MATCH(A29,Elections!$A:$A,0))</f>
        <v>0.521490821649815</v>
      </c>
      <c r="I29" s="17" t="n">
        <f aca="false">LN(G29)-LN(H29)</f>
        <v>-3.77742435807729</v>
      </c>
      <c r="J29" s="19" t="n">
        <f aca="false">SUMIFS($G:$G,$A:$A,A29,$E:$E,E29)</f>
        <v>0.139993306203307</v>
      </c>
      <c r="K29" s="17" t="n">
        <f aca="false">LN(G29/J29)</f>
        <v>-2.46232729232853</v>
      </c>
    </row>
    <row r="30" customFormat="false" ht="15" hidden="false" customHeight="false" outlineLevel="0" collapsed="false">
      <c r="A30" s="23" t="s">
        <v>137</v>
      </c>
      <c r="B30" s="23" t="s">
        <v>157</v>
      </c>
      <c r="C30" s="23" t="s">
        <v>158</v>
      </c>
      <c r="D30" s="24" t="n">
        <v>412609</v>
      </c>
      <c r="E30" s="23" t="s">
        <v>97</v>
      </c>
      <c r="F30" s="25" t="n">
        <f aca="false">INDEX(Elections!$E:$E,MATCH(A30,Elections!$A:$A,0))</f>
        <v>47345328</v>
      </c>
      <c r="G30" s="19" t="n">
        <f aca="false">D30/F30</f>
        <v>0.00871488312426519</v>
      </c>
      <c r="H30" s="26" t="n">
        <f aca="false">INDEX(Elections!$I:$I,MATCH(A30,Elections!$A:$A,0))</f>
        <v>0.521490821649815</v>
      </c>
      <c r="I30" s="17" t="n">
        <f aca="false">LN(G30)-LN(H30)</f>
        <v>-4.09165940636973</v>
      </c>
      <c r="J30" s="19" t="n">
        <f aca="false">SUMIFS($G:$G,$A:$A,A30,$E:$E,E30)</f>
        <v>0.177746429383698</v>
      </c>
      <c r="K30" s="17" t="n">
        <f aca="false">LN(G30/J30)</f>
        <v>-3.01532571261442</v>
      </c>
      <c r="L30" s="7" t="s">
        <v>164</v>
      </c>
    </row>
    <row r="31" customFormat="false" ht="15" hidden="false" customHeight="false" outlineLevel="0" collapsed="false">
      <c r="A31" s="23" t="s">
        <v>137</v>
      </c>
      <c r="B31" s="23" t="s">
        <v>84</v>
      </c>
      <c r="C31" s="23" t="s">
        <v>83</v>
      </c>
      <c r="D31" s="24" t="n">
        <v>176339</v>
      </c>
      <c r="E31" s="23" t="s">
        <v>85</v>
      </c>
      <c r="F31" s="25" t="n">
        <f aca="false">INDEX(Elections!$E:$E,MATCH(A31,Elections!$A:$A,0))</f>
        <v>47345328</v>
      </c>
      <c r="G31" s="19" t="n">
        <f aca="false">D31/F31</f>
        <v>0.00372452800411479</v>
      </c>
      <c r="H31" s="26" t="n">
        <f aca="false">INDEX(Elections!$I:$I,MATCH(A31,Elections!$A:$A,0))</f>
        <v>0.521490821649815</v>
      </c>
      <c r="I31" s="17" t="n">
        <f aca="false">LN(G31)-LN(H31)</f>
        <v>-4.94175154088313</v>
      </c>
      <c r="J31" s="19" t="n">
        <f aca="false">SUMIFS($G:$G,$A:$A,A31,$E:$E,E31)</f>
        <v>0.139993306203307</v>
      </c>
      <c r="K31" s="17" t="n">
        <f aca="false">LN(G31/J31)</f>
        <v>-3.62665447513437</v>
      </c>
    </row>
    <row r="32" customFormat="false" ht="15" hidden="false" customHeight="false" outlineLevel="0" collapsed="false">
      <c r="A32" s="23" t="s">
        <v>140</v>
      </c>
      <c r="B32" s="23" t="s">
        <v>94</v>
      </c>
      <c r="C32" s="23" t="s">
        <v>93</v>
      </c>
      <c r="D32" s="24" t="n">
        <v>9783058</v>
      </c>
      <c r="E32" s="23" t="s">
        <v>95</v>
      </c>
      <c r="F32" s="25" t="n">
        <f aca="false">INDEX(Elections!$E:$E,MATCH(A32,Elections!$A:$A,0))</f>
        <v>48747876</v>
      </c>
      <c r="G32" s="19" t="n">
        <f aca="false">D32/F32</f>
        <v>0.20068685659248</v>
      </c>
      <c r="H32" s="26" t="n">
        <f aca="false">INDEX(Elections!$I:$I,MATCH(A32,Elections!$A:$A,0))</f>
        <v>0.279292763442658</v>
      </c>
      <c r="I32" s="17" t="n">
        <f aca="false">LN(G32)-LN(H32)</f>
        <v>-0.330514797166088</v>
      </c>
      <c r="J32" s="19" t="n">
        <f aca="false">SUMIFS($G:$G,$A:$A,A32,$E:$E,E32)</f>
        <v>0.20068685659248</v>
      </c>
      <c r="K32" s="17" t="n">
        <f aca="false">LN(G32/J32)</f>
        <v>0</v>
      </c>
    </row>
    <row r="33" customFormat="false" ht="15" hidden="false" customHeight="false" outlineLevel="0" collapsed="false">
      <c r="A33" s="23" t="s">
        <v>140</v>
      </c>
      <c r="B33" s="23" t="s">
        <v>100</v>
      </c>
      <c r="C33" s="23" t="s">
        <v>100</v>
      </c>
      <c r="D33" s="24" t="n">
        <v>8133828</v>
      </c>
      <c r="E33" s="23" t="s">
        <v>97</v>
      </c>
      <c r="F33" s="25" t="n">
        <f aca="false">INDEX(Elections!$E:$E,MATCH(A33,Elections!$A:$A,0))</f>
        <v>48747876</v>
      </c>
      <c r="G33" s="19" t="n">
        <f aca="false">D33/F33</f>
        <v>0.166855023591182</v>
      </c>
      <c r="H33" s="26" t="n">
        <f aca="false">INDEX(Elections!$I:$I,MATCH(A33,Elections!$A:$A,0))</f>
        <v>0.279292763442658</v>
      </c>
      <c r="I33" s="17" t="n">
        <f aca="false">LN(G33)-LN(H33)</f>
        <v>-0.515135249821812</v>
      </c>
      <c r="J33" s="19" t="n">
        <f aca="false">SUMIFS($G:$G,$A:$A,A33,$E:$E,E33)</f>
        <v>0.267154839730863</v>
      </c>
      <c r="K33" s="17" t="n">
        <f aca="false">LN(G33/J33)</f>
        <v>-0.470703101222938</v>
      </c>
    </row>
    <row r="34" customFormat="false" ht="15" hidden="false" customHeight="false" outlineLevel="0" collapsed="false">
      <c r="A34" s="23" t="s">
        <v>140</v>
      </c>
      <c r="B34" s="23" t="s">
        <v>87</v>
      </c>
      <c r="C34" s="23" t="s">
        <v>86</v>
      </c>
      <c r="D34" s="24" t="n">
        <v>7712520</v>
      </c>
      <c r="E34" s="23" t="s">
        <v>85</v>
      </c>
      <c r="F34" s="25" t="n">
        <f aca="false">INDEX(Elections!$E:$E,MATCH(A34,Elections!$A:$A,0))</f>
        <v>48747876</v>
      </c>
      <c r="G34" s="19" t="n">
        <f aca="false">D34/F34</f>
        <v>0.158212431655484</v>
      </c>
      <c r="H34" s="26" t="n">
        <f aca="false">INDEX(Elections!$I:$I,MATCH(A34,Elections!$A:$A,0))</f>
        <v>0.279292763442658</v>
      </c>
      <c r="I34" s="17" t="n">
        <f aca="false">LN(G34)-LN(H34)</f>
        <v>-0.568321928854536</v>
      </c>
      <c r="J34" s="19" t="n">
        <f aca="false">SUMIFS($G:$G,$A:$A,A34,$E:$E,E34)</f>
        <v>0.230272002004764</v>
      </c>
      <c r="K34" s="17" t="n">
        <f aca="false">LN(G34/J34)</f>
        <v>-0.375322593454855</v>
      </c>
    </row>
    <row r="35" customFormat="false" ht="15" hidden="false" customHeight="false" outlineLevel="0" collapsed="false">
      <c r="A35" s="23" t="s">
        <v>140</v>
      </c>
      <c r="B35" s="23" t="s">
        <v>102</v>
      </c>
      <c r="C35" s="23" t="s">
        <v>101</v>
      </c>
      <c r="D35" s="24" t="n">
        <v>2485226</v>
      </c>
      <c r="E35" s="23" t="s">
        <v>97</v>
      </c>
      <c r="F35" s="25" t="n">
        <f aca="false">INDEX(Elections!$E:$E,MATCH(A35,Elections!$A:$A,0))</f>
        <v>48747876</v>
      </c>
      <c r="G35" s="19" t="n">
        <f aca="false">D35/F35</f>
        <v>0.0509812160841633</v>
      </c>
      <c r="H35" s="26" t="n">
        <f aca="false">INDEX(Elections!$I:$I,MATCH(A35,Elections!$A:$A,0))</f>
        <v>0.279292763442658</v>
      </c>
      <c r="I35" s="17" t="n">
        <f aca="false">LN(G35)-LN(H35)</f>
        <v>-1.70080331018822</v>
      </c>
      <c r="J35" s="19" t="n">
        <f aca="false">SUMIFS($G:$G,$A:$A,A35,$E:$E,E35)</f>
        <v>0.267154839730863</v>
      </c>
      <c r="K35" s="17" t="n">
        <f aca="false">LN(G35/J35)</f>
        <v>-1.65637116158935</v>
      </c>
    </row>
    <row r="36" customFormat="false" ht="15" hidden="false" customHeight="false" outlineLevel="0" collapsed="false">
      <c r="A36" s="23" t="s">
        <v>140</v>
      </c>
      <c r="B36" s="23" t="s">
        <v>96</v>
      </c>
      <c r="C36" s="23" t="s">
        <v>96</v>
      </c>
      <c r="D36" s="24" t="n">
        <v>1679001</v>
      </c>
      <c r="E36" s="23" t="s">
        <v>97</v>
      </c>
      <c r="F36" s="25" t="n">
        <f aca="false">INDEX(Elections!$E:$E,MATCH(A36,Elections!$A:$A,0))</f>
        <v>48747876</v>
      </c>
      <c r="G36" s="19" t="n">
        <f aca="false">D36/F36</f>
        <v>0.0344425467891155</v>
      </c>
      <c r="H36" s="26" t="n">
        <f aca="false">INDEX(Elections!$I:$I,MATCH(A36,Elections!$A:$A,0))</f>
        <v>0.279292763442658</v>
      </c>
      <c r="I36" s="17" t="n">
        <f aca="false">LN(G36)-LN(H36)</f>
        <v>-2.09296793758771</v>
      </c>
      <c r="J36" s="19" t="n">
        <f aca="false">SUMIFS($G:$G,$A:$A,A36,$E:$E,E36)</f>
        <v>0.267154839730863</v>
      </c>
      <c r="K36" s="17" t="n">
        <f aca="false">LN(G36/J36)</f>
        <v>-2.04853578898883</v>
      </c>
    </row>
    <row r="37" customFormat="false" ht="15" hidden="false" customHeight="false" outlineLevel="0" collapsed="false">
      <c r="A37" s="23" t="s">
        <v>140</v>
      </c>
      <c r="B37" s="23" t="s">
        <v>90</v>
      </c>
      <c r="C37" s="23" t="s">
        <v>89</v>
      </c>
      <c r="D37" s="24" t="n">
        <v>1627853</v>
      </c>
      <c r="E37" s="23" t="s">
        <v>85</v>
      </c>
      <c r="F37" s="25" t="n">
        <f aca="false">INDEX(Elections!$E:$E,MATCH(A37,Elections!$A:$A,0))</f>
        <v>48747876</v>
      </c>
      <c r="G37" s="19" t="n">
        <f aca="false">D37/F37</f>
        <v>0.033393311331144</v>
      </c>
      <c r="H37" s="26" t="n">
        <f aca="false">INDEX(Elections!$I:$I,MATCH(A37,Elections!$A:$A,0))</f>
        <v>0.279292763442658</v>
      </c>
      <c r="I37" s="17" t="n">
        <f aca="false">LN(G37)-LN(H37)</f>
        <v>-2.12390494261232</v>
      </c>
      <c r="J37" s="19" t="n">
        <f aca="false">SUMIFS($G:$G,$A:$A,A37,$E:$E,E37)</f>
        <v>0.230272002004764</v>
      </c>
      <c r="K37" s="17" t="n">
        <f aca="false">LN(G37/J37)</f>
        <v>-1.93090560721264</v>
      </c>
    </row>
    <row r="38" customFormat="false" ht="15" hidden="false" customHeight="false" outlineLevel="0" collapsed="false">
      <c r="A38" s="23" t="s">
        <v>140</v>
      </c>
      <c r="B38" s="23" t="s">
        <v>88</v>
      </c>
      <c r="C38" s="23" t="s">
        <v>88</v>
      </c>
      <c r="D38" s="24" t="n">
        <v>802422</v>
      </c>
      <c r="E38" s="23" t="s">
        <v>85</v>
      </c>
      <c r="F38" s="25" t="n">
        <f aca="false">INDEX(Elections!$E:$E,MATCH(A38,Elections!$A:$A,0))</f>
        <v>48747876</v>
      </c>
      <c r="G38" s="19" t="n">
        <f aca="false">D38/F38</f>
        <v>0.0164606556396426</v>
      </c>
      <c r="H38" s="26" t="n">
        <f aca="false">INDEX(Elections!$I:$I,MATCH(A38,Elections!$A:$A,0))</f>
        <v>0.279292763442658</v>
      </c>
      <c r="I38" s="17" t="n">
        <f aca="false">LN(G38)-LN(H38)</f>
        <v>-2.83128753623906</v>
      </c>
      <c r="J38" s="19" t="n">
        <f aca="false">SUMIFS($G:$G,$A:$A,A38,$E:$E,E38)</f>
        <v>0.230272002004764</v>
      </c>
      <c r="K38" s="17" t="n">
        <f aca="false">LN(G38/J38)</f>
        <v>-2.63828820083938</v>
      </c>
    </row>
    <row r="39" customFormat="false" ht="15" hidden="false" customHeight="false" outlineLevel="0" collapsed="false">
      <c r="A39" s="23" t="s">
        <v>140</v>
      </c>
      <c r="B39" s="23" t="s">
        <v>99</v>
      </c>
      <c r="C39" s="23" t="s">
        <v>98</v>
      </c>
      <c r="D39" s="24" t="n">
        <v>725176</v>
      </c>
      <c r="E39" s="23" t="s">
        <v>97</v>
      </c>
      <c r="F39" s="25" t="n">
        <f aca="false">INDEX(Elections!$E:$E,MATCH(A39,Elections!$A:$A,0))</f>
        <v>48747876</v>
      </c>
      <c r="G39" s="19" t="n">
        <f aca="false">D39/F39</f>
        <v>0.0148760532664028</v>
      </c>
      <c r="H39" s="26" t="n">
        <f aca="false">INDEX(Elections!$I:$I,MATCH(A39,Elections!$A:$A,0))</f>
        <v>0.279292763442658</v>
      </c>
      <c r="I39" s="17" t="n">
        <f aca="false">LN(G39)-LN(H39)</f>
        <v>-2.93250780624343</v>
      </c>
      <c r="J39" s="19" t="n">
        <f aca="false">SUMIFS($G:$G,$A:$A,A39,$E:$E,E39)</f>
        <v>0.267154839730863</v>
      </c>
      <c r="K39" s="17" t="n">
        <f aca="false">LN(G39/J39)</f>
        <v>-2.88807565764455</v>
      </c>
    </row>
    <row r="40" customFormat="false" ht="15" hidden="false" customHeight="false" outlineLevel="0" collapsed="false">
      <c r="A40" s="23" t="s">
        <v>140</v>
      </c>
      <c r="B40" s="23" t="s">
        <v>92</v>
      </c>
      <c r="C40" s="23" t="s">
        <v>91</v>
      </c>
      <c r="D40" s="24" t="n">
        <v>616478</v>
      </c>
      <c r="E40" s="23" t="s">
        <v>85</v>
      </c>
      <c r="F40" s="25" t="n">
        <f aca="false">INDEX(Elections!$E:$E,MATCH(A40,Elections!$A:$A,0))</f>
        <v>48747876</v>
      </c>
      <c r="G40" s="19" t="n">
        <f aca="false">D40/F40</f>
        <v>0.0126462535516419</v>
      </c>
      <c r="H40" s="26" t="n">
        <f aca="false">INDEX(Elections!$I:$I,MATCH(A40,Elections!$A:$A,0))</f>
        <v>0.279292763442658</v>
      </c>
      <c r="I40" s="17" t="n">
        <f aca="false">LN(G40)-LN(H40)</f>
        <v>-3.09489955361038</v>
      </c>
      <c r="J40" s="19" t="n">
        <f aca="false">SUMIFS($G:$G,$A:$A,A40,$E:$E,E40)</f>
        <v>0.230272002004764</v>
      </c>
      <c r="K40" s="17" t="n">
        <f aca="false">LN(G40/J40)</f>
        <v>-2.9019002182107</v>
      </c>
    </row>
    <row r="41" customFormat="false" ht="15" hidden="false" customHeight="false" outlineLevel="0" collapsed="false">
      <c r="A41" s="23" t="s">
        <v>140</v>
      </c>
      <c r="B41" s="23" t="s">
        <v>84</v>
      </c>
      <c r="C41" s="23" t="s">
        <v>83</v>
      </c>
      <c r="D41" s="24" t="n">
        <v>465998</v>
      </c>
      <c r="E41" s="23" t="s">
        <v>85</v>
      </c>
      <c r="F41" s="25" t="n">
        <f aca="false">INDEX(Elections!$E:$E,MATCH(A41,Elections!$A:$A,0))</f>
        <v>48747876</v>
      </c>
      <c r="G41" s="19" t="n">
        <f aca="false">D41/F41</f>
        <v>0.00955934982685194</v>
      </c>
      <c r="H41" s="26" t="n">
        <f aca="false">INDEX(Elections!$I:$I,MATCH(A41,Elections!$A:$A,0))</f>
        <v>0.279292763442658</v>
      </c>
      <c r="I41" s="17" t="n">
        <f aca="false">LN(G41)-LN(H41)</f>
        <v>-3.37474084798674</v>
      </c>
      <c r="J41" s="19" t="n">
        <f aca="false">SUMIFS($G:$G,$A:$A,A41,$E:$E,E41)</f>
        <v>0.230272002004764</v>
      </c>
      <c r="K41" s="17" t="n">
        <f aca="false">LN(G41/J41)</f>
        <v>-3.18174151258706</v>
      </c>
    </row>
    <row r="42" customFormat="false" ht="15" hidden="false" customHeight="false" outlineLevel="0" collapsed="false">
      <c r="A42" s="23" t="s">
        <v>143</v>
      </c>
      <c r="B42" s="23" t="s">
        <v>94</v>
      </c>
      <c r="C42" s="23" t="s">
        <v>93</v>
      </c>
      <c r="D42" s="24" t="n">
        <v>5857364</v>
      </c>
      <c r="E42" s="23" t="s">
        <v>95</v>
      </c>
      <c r="F42" s="25" t="n">
        <f aca="false">INDEX(Elections!$E:$E,MATCH(A42,Elections!$A:$A,0))</f>
        <v>48953748</v>
      </c>
      <c r="G42" s="19" t="n">
        <f aca="false">D42/F42</f>
        <v>0.119650981575507</v>
      </c>
      <c r="H42" s="26" t="n">
        <f aca="false">INDEX(Elections!$I:$I,MATCH(A42,Elections!$A:$A,0))</f>
        <v>0.535383725879375</v>
      </c>
      <c r="I42" s="17" t="n">
        <f aca="false">LN(G42)-LN(H42)</f>
        <v>-1.4984047163892</v>
      </c>
      <c r="J42" s="19" t="n">
        <f aca="false">SUMIFS($G:$G,$A:$A,A42,$E:$E,E42)</f>
        <v>0.119650981575507</v>
      </c>
      <c r="K42" s="17" t="n">
        <f aca="false">LN(G42/J42)</f>
        <v>0</v>
      </c>
    </row>
    <row r="43" customFormat="false" ht="15" hidden="false" customHeight="false" outlineLevel="0" collapsed="false">
      <c r="A43" s="23" t="s">
        <v>143</v>
      </c>
      <c r="B43" s="23" t="s">
        <v>165</v>
      </c>
      <c r="C43" s="23" t="s">
        <v>166</v>
      </c>
      <c r="D43" s="24" t="n">
        <v>5836079</v>
      </c>
      <c r="E43" s="23" t="s">
        <v>85</v>
      </c>
      <c r="F43" s="25" t="n">
        <f aca="false">INDEX(Elections!$E:$E,MATCH(A43,Elections!$A:$A,0))</f>
        <v>48953748</v>
      </c>
      <c r="G43" s="19" t="n">
        <f aca="false">D43/F43</f>
        <v>0.119216183406427</v>
      </c>
      <c r="H43" s="26" t="n">
        <f aca="false">INDEX(Elections!$I:$I,MATCH(A43,Elections!$A:$A,0))</f>
        <v>0.535383725879375</v>
      </c>
      <c r="I43" s="17" t="n">
        <f aca="false">LN(G43)-LN(H43)</f>
        <v>-1.50204522218514</v>
      </c>
      <c r="J43" s="19" t="n">
        <f aca="false">SUMIFS($G:$G,$A:$A,A43,$E:$E,E43)</f>
        <v>0.12465829991199</v>
      </c>
      <c r="K43" s="17" t="n">
        <f aca="false">LN(G43/J43)</f>
        <v>-0.0446378812406123</v>
      </c>
    </row>
    <row r="44" customFormat="false" ht="15" hidden="false" customHeight="false" outlineLevel="0" collapsed="false">
      <c r="A44" s="23" t="s">
        <v>143</v>
      </c>
      <c r="B44" s="23" t="s">
        <v>100</v>
      </c>
      <c r="C44" s="23" t="s">
        <v>100</v>
      </c>
      <c r="D44" s="24" t="n">
        <v>4248537</v>
      </c>
      <c r="E44" s="23" t="s">
        <v>97</v>
      </c>
      <c r="F44" s="25" t="n">
        <f aca="false">INDEX(Elections!$E:$E,MATCH(A44,Elections!$A:$A,0))</f>
        <v>48953748</v>
      </c>
      <c r="G44" s="19" t="n">
        <f aca="false">D44/F44</f>
        <v>0.0867867563480533</v>
      </c>
      <c r="H44" s="26" t="n">
        <f aca="false">INDEX(Elections!$I:$I,MATCH(A44,Elections!$A:$A,0))</f>
        <v>0.535383725879375</v>
      </c>
      <c r="I44" s="17" t="n">
        <f aca="false">LN(G44)-LN(H44)</f>
        <v>-1.81952970104337</v>
      </c>
      <c r="J44" s="19" t="n">
        <f aca="false">SUMIFS($G:$G,$A:$A,A44,$E:$E,E44)</f>
        <v>0.158962578309632</v>
      </c>
      <c r="K44" s="17" t="n">
        <f aca="false">LN(G44/J44)</f>
        <v>-0.605214784586366</v>
      </c>
    </row>
    <row r="45" customFormat="false" ht="15" hidden="false" customHeight="false" outlineLevel="0" collapsed="false">
      <c r="A45" s="23" t="s">
        <v>143</v>
      </c>
      <c r="B45" s="23" t="s">
        <v>96</v>
      </c>
      <c r="C45" s="23" t="s">
        <v>96</v>
      </c>
      <c r="D45" s="24" t="n">
        <v>2568502</v>
      </c>
      <c r="E45" s="23" t="s">
        <v>97</v>
      </c>
      <c r="F45" s="25" t="n">
        <f aca="false">INDEX(Elections!$E:$E,MATCH(A45,Elections!$A:$A,0))</f>
        <v>48953748</v>
      </c>
      <c r="G45" s="19" t="n">
        <f aca="false">D45/F45</f>
        <v>0.0524679336094961</v>
      </c>
      <c r="H45" s="26" t="n">
        <f aca="false">INDEX(Elections!$I:$I,MATCH(A45,Elections!$A:$A,0))</f>
        <v>0.535383725879375</v>
      </c>
      <c r="I45" s="17" t="n">
        <f aca="false">LN(G45)-LN(H45)</f>
        <v>-2.32278153983354</v>
      </c>
      <c r="J45" s="19" t="n">
        <f aca="false">SUMIFS($G:$G,$A:$A,A45,$E:$E,E45)</f>
        <v>0.158962578309632</v>
      </c>
      <c r="K45" s="17" t="n">
        <f aca="false">LN(G45/J45)</f>
        <v>-1.10846662337653</v>
      </c>
      <c r="L45" s="7" t="s">
        <v>167</v>
      </c>
    </row>
    <row r="46" customFormat="false" ht="15" hidden="false" customHeight="false" outlineLevel="0" collapsed="false">
      <c r="A46" s="23" t="s">
        <v>143</v>
      </c>
      <c r="B46" s="23" t="s">
        <v>102</v>
      </c>
      <c r="C46" s="23" t="s">
        <v>101</v>
      </c>
      <c r="D46" s="24" t="n">
        <v>964775</v>
      </c>
      <c r="E46" s="23" t="s">
        <v>97</v>
      </c>
      <c r="F46" s="25" t="n">
        <f aca="false">INDEX(Elections!$E:$E,MATCH(A46,Elections!$A:$A,0))</f>
        <v>48953748</v>
      </c>
      <c r="G46" s="19" t="n">
        <f aca="false">D46/F46</f>
        <v>0.0197078883520829</v>
      </c>
      <c r="H46" s="26" t="n">
        <f aca="false">INDEX(Elections!$I:$I,MATCH(A46,Elections!$A:$A,0))</f>
        <v>0.535383725879375</v>
      </c>
      <c r="I46" s="17" t="n">
        <f aca="false">LN(G46)-LN(H46)</f>
        <v>-3.30196475487409</v>
      </c>
      <c r="J46" s="19" t="n">
        <f aca="false">SUMIFS($G:$G,$A:$A,A46,$E:$E,E46)</f>
        <v>0.158962578309632</v>
      </c>
      <c r="K46" s="17" t="n">
        <f aca="false">LN(G46/J46)</f>
        <v>-2.08764983841708</v>
      </c>
    </row>
    <row r="47" customFormat="false" ht="15" hidden="false" customHeight="false" outlineLevel="0" collapsed="false">
      <c r="A47" s="23" t="s">
        <v>143</v>
      </c>
      <c r="B47" s="23" t="s">
        <v>84</v>
      </c>
      <c r="C47" s="23" t="s">
        <v>83</v>
      </c>
      <c r="D47" s="24" t="n">
        <v>266412</v>
      </c>
      <c r="E47" s="23" t="s">
        <v>85</v>
      </c>
      <c r="F47" s="25" t="n">
        <f aca="false">INDEX(Elections!$E:$E,MATCH(A47,Elections!$A:$A,0))</f>
        <v>48953748</v>
      </c>
      <c r="G47" s="19" t="n">
        <f aca="false">D47/F47</f>
        <v>0.00544211650556358</v>
      </c>
      <c r="H47" s="26" t="n">
        <f aca="false">INDEX(Elections!$I:$I,MATCH(A47,Elections!$A:$A,0))</f>
        <v>0.535383725879375</v>
      </c>
      <c r="I47" s="17" t="n">
        <f aca="false">LN(G47)-LN(H47)</f>
        <v>-4.58881568570837</v>
      </c>
      <c r="J47" s="19" t="n">
        <f aca="false">SUMIFS($G:$G,$A:$A,A47,$E:$E,E47)</f>
        <v>0.12465829991199</v>
      </c>
      <c r="K47" s="17" t="n">
        <f aca="false">LN(G47/J47)</f>
        <v>-3.13140834476384</v>
      </c>
      <c r="L47" s="7" t="s">
        <v>168</v>
      </c>
    </row>
    <row r="48" customFormat="false" ht="15" hidden="false" customHeight="false" outlineLevel="0" collapsed="false">
      <c r="A48" s="23" t="s">
        <v>145</v>
      </c>
      <c r="B48" s="23" t="s">
        <v>100</v>
      </c>
      <c r="C48" s="23" t="s">
        <v>100</v>
      </c>
      <c r="D48" s="24" t="n">
        <v>7765936</v>
      </c>
      <c r="E48" s="23" t="s">
        <v>97</v>
      </c>
      <c r="F48" s="25" t="n">
        <f aca="false">INDEX(Elections!$E:$E,MATCH(A48,Elections!$A:$A,0))</f>
        <v>49462981</v>
      </c>
      <c r="G48" s="19" t="n">
        <f aca="false">D48/F48</f>
        <v>0.15700501350697</v>
      </c>
      <c r="H48" s="26" t="n">
        <f aca="false">INDEX(Elections!$I:$I,MATCH(A48,Elections!$A:$A,0))</f>
        <v>0.499549511583218</v>
      </c>
      <c r="I48" s="17" t="n">
        <f aca="false">LN(G48)-LN(H48)</f>
        <v>-1.15742897746117</v>
      </c>
      <c r="J48" s="19" t="n">
        <f aca="false">SUMIFS($G:$G,$A:$A,A48,$E:$E,E48)</f>
        <v>0.230383607490216</v>
      </c>
      <c r="K48" s="17" t="n">
        <f aca="false">LN(G48/J48)</f>
        <v>-0.383468040240786</v>
      </c>
    </row>
    <row r="49" customFormat="false" ht="15" hidden="false" customHeight="false" outlineLevel="0" collapsed="false">
      <c r="A49" s="23" t="s">
        <v>145</v>
      </c>
      <c r="B49" s="23" t="s">
        <v>94</v>
      </c>
      <c r="C49" s="23" t="s">
        <v>93</v>
      </c>
      <c r="D49" s="24" t="n">
        <v>3614646</v>
      </c>
      <c r="E49" s="23" t="s">
        <v>95</v>
      </c>
      <c r="F49" s="25" t="n">
        <f aca="false">INDEX(Elections!$E:$E,MATCH(A49,Elections!$A:$A,0))</f>
        <v>49462981</v>
      </c>
      <c r="G49" s="19" t="n">
        <f aca="false">D49/F49</f>
        <v>0.0730778033778433</v>
      </c>
      <c r="H49" s="26" t="n">
        <f aca="false">INDEX(Elections!$I:$I,MATCH(A49,Elections!$A:$A,0))</f>
        <v>0.499549511583218</v>
      </c>
      <c r="I49" s="17" t="n">
        <f aca="false">LN(G49)-LN(H49)</f>
        <v>-1.92218204218143</v>
      </c>
      <c r="J49" s="19" t="n">
        <f aca="false">SUMIFS($G:$G,$A:$A,A49,$E:$E,E49)</f>
        <v>0.0730778033778433</v>
      </c>
      <c r="K49" s="17" t="n">
        <f aca="false">LN(G49/J49)</f>
        <v>0</v>
      </c>
    </row>
    <row r="50" customFormat="false" ht="15" hidden="false" customHeight="false" outlineLevel="0" collapsed="false">
      <c r="A50" s="23" t="s">
        <v>145</v>
      </c>
      <c r="B50" s="23" t="s">
        <v>92</v>
      </c>
      <c r="C50" s="23" t="s">
        <v>91</v>
      </c>
      <c r="D50" s="24" t="n">
        <v>3424216</v>
      </c>
      <c r="E50" s="23" t="s">
        <v>85</v>
      </c>
      <c r="F50" s="25" t="n">
        <f aca="false">INDEX(Elections!$E:$E,MATCH(A50,Elections!$A:$A,0))</f>
        <v>49462981</v>
      </c>
      <c r="G50" s="19" t="n">
        <f aca="false">D50/F50</f>
        <v>0.0692278534526659</v>
      </c>
      <c r="H50" s="26" t="n">
        <f aca="false">INDEX(Elections!$I:$I,MATCH(A50,Elections!$A:$A,0))</f>
        <v>0.499549511583218</v>
      </c>
      <c r="I50" s="17" t="n">
        <f aca="false">LN(G50)-LN(H50)</f>
        <v>-1.97630342728403</v>
      </c>
      <c r="J50" s="19" t="n">
        <f aca="false">SUMIFS($G:$G,$A:$A,A50,$E:$E,E50)</f>
        <v>0.161283930703651</v>
      </c>
      <c r="K50" s="17" t="n">
        <f aca="false">LN(G50/J50)</f>
        <v>-0.84576306832744</v>
      </c>
      <c r="L50" s="7" t="s">
        <v>163</v>
      </c>
    </row>
    <row r="51" customFormat="false" ht="15" hidden="false" customHeight="false" outlineLevel="0" collapsed="false">
      <c r="A51" s="23" t="s">
        <v>145</v>
      </c>
      <c r="B51" s="23" t="s">
        <v>87</v>
      </c>
      <c r="C51" s="23" t="s">
        <v>86</v>
      </c>
      <c r="D51" s="24" t="n">
        <v>2448703</v>
      </c>
      <c r="E51" s="23" t="s">
        <v>85</v>
      </c>
      <c r="F51" s="25" t="n">
        <f aca="false">INDEX(Elections!$E:$E,MATCH(A51,Elections!$A:$A,0))</f>
        <v>49462981</v>
      </c>
      <c r="G51" s="19" t="n">
        <f aca="false">D51/F51</f>
        <v>0.0495057707904827</v>
      </c>
      <c r="H51" s="26" t="n">
        <f aca="false">INDEX(Elections!$I:$I,MATCH(A51,Elections!$A:$A,0))</f>
        <v>0.499549511583218</v>
      </c>
      <c r="I51" s="17" t="n">
        <f aca="false">LN(G51)-LN(H51)</f>
        <v>-2.3116174710596</v>
      </c>
      <c r="J51" s="19" t="n">
        <f aca="false">SUMIFS($G:$G,$A:$A,A51,$E:$E,E51)</f>
        <v>0.161283930703651</v>
      </c>
      <c r="K51" s="17" t="n">
        <f aca="false">LN(G51/J51)</f>
        <v>-1.181077112103</v>
      </c>
    </row>
    <row r="52" customFormat="false" ht="15" hidden="false" customHeight="false" outlineLevel="0" collapsed="false">
      <c r="A52" s="23" t="s">
        <v>145</v>
      </c>
      <c r="B52" s="23" t="s">
        <v>96</v>
      </c>
      <c r="C52" s="23" t="s">
        <v>96</v>
      </c>
      <c r="D52" s="24" t="n">
        <v>1794171</v>
      </c>
      <c r="E52" s="23" t="s">
        <v>97</v>
      </c>
      <c r="F52" s="25" t="n">
        <f aca="false">INDEX(Elections!$E:$E,MATCH(A52,Elections!$A:$A,0))</f>
        <v>49462981</v>
      </c>
      <c r="G52" s="19" t="n">
        <f aca="false">D52/F52</f>
        <v>0.0362730058667511</v>
      </c>
      <c r="H52" s="26" t="n">
        <f aca="false">INDEX(Elections!$I:$I,MATCH(A52,Elections!$A:$A,0))</f>
        <v>0.499549511583218</v>
      </c>
      <c r="I52" s="17" t="n">
        <f aca="false">LN(G52)-LN(H52)</f>
        <v>-2.62263289086605</v>
      </c>
      <c r="J52" s="19" t="n">
        <f aca="false">SUMIFS($G:$G,$A:$A,A52,$E:$E,E52)</f>
        <v>0.230383607490216</v>
      </c>
      <c r="K52" s="17" t="n">
        <f aca="false">LN(G52/J52)</f>
        <v>-1.84867195364566</v>
      </c>
    </row>
    <row r="53" customFormat="false" ht="15" hidden="false" customHeight="false" outlineLevel="0" collapsed="false">
      <c r="A53" s="23" t="s">
        <v>145</v>
      </c>
      <c r="B53" s="23" t="s">
        <v>90</v>
      </c>
      <c r="C53" s="23" t="s">
        <v>89</v>
      </c>
      <c r="D53" s="24" t="n">
        <v>1361883</v>
      </c>
      <c r="E53" s="23" t="s">
        <v>85</v>
      </c>
      <c r="F53" s="25" t="n">
        <f aca="false">INDEX(Elections!$E:$E,MATCH(A53,Elections!$A:$A,0))</f>
        <v>49462981</v>
      </c>
      <c r="G53" s="19" t="n">
        <f aca="false">D53/F53</f>
        <v>0.0275333789526353</v>
      </c>
      <c r="H53" s="26" t="n">
        <f aca="false">INDEX(Elections!$I:$I,MATCH(A53,Elections!$A:$A,0))</f>
        <v>0.499549511583218</v>
      </c>
      <c r="I53" s="17" t="n">
        <f aca="false">LN(G53)-LN(H53)</f>
        <v>-2.89830766673222</v>
      </c>
      <c r="J53" s="19" t="n">
        <f aca="false">SUMIFS($G:$G,$A:$A,A53,$E:$E,E53)</f>
        <v>0.161283930703651</v>
      </c>
      <c r="K53" s="17" t="n">
        <f aca="false">LN(G53/J53)</f>
        <v>-1.76776730777563</v>
      </c>
    </row>
    <row r="54" customFormat="false" ht="15" hidden="false" customHeight="false" outlineLevel="0" collapsed="false">
      <c r="A54" s="23" t="s">
        <v>145</v>
      </c>
      <c r="B54" s="23" t="s">
        <v>102</v>
      </c>
      <c r="C54" s="23" t="s">
        <v>101</v>
      </c>
      <c r="D54" s="24" t="n">
        <v>1353127</v>
      </c>
      <c r="E54" s="23" t="s">
        <v>97</v>
      </c>
      <c r="F54" s="25" t="n">
        <f aca="false">INDEX(Elections!$E:$E,MATCH(A54,Elections!$A:$A,0))</f>
        <v>49462981</v>
      </c>
      <c r="G54" s="19" t="n">
        <f aca="false">D54/F54</f>
        <v>0.0273563576768655</v>
      </c>
      <c r="H54" s="26" t="n">
        <f aca="false">INDEX(Elections!$I:$I,MATCH(A54,Elections!$A:$A,0))</f>
        <v>0.499549511583218</v>
      </c>
      <c r="I54" s="17" t="n">
        <f aca="false">LN(G54)-LN(H54)</f>
        <v>-2.90475775741829</v>
      </c>
      <c r="J54" s="19" t="n">
        <f aca="false">SUMIFS($G:$G,$A:$A,A54,$E:$E,E54)</f>
        <v>0.230383607490216</v>
      </c>
      <c r="K54" s="17" t="n">
        <f aca="false">LN(G54/J54)</f>
        <v>-2.1307968201979</v>
      </c>
    </row>
    <row r="55" customFormat="false" ht="15" hidden="false" customHeight="false" outlineLevel="0" collapsed="false">
      <c r="A55" s="23" t="s">
        <v>145</v>
      </c>
      <c r="B55" s="23" t="s">
        <v>88</v>
      </c>
      <c r="C55" s="23" t="s">
        <v>88</v>
      </c>
      <c r="D55" s="24" t="n">
        <v>584067</v>
      </c>
      <c r="E55" s="23" t="s">
        <v>85</v>
      </c>
      <c r="F55" s="25" t="n">
        <f aca="false">INDEX(Elections!$E:$E,MATCH(A55,Elections!$A:$A,0))</f>
        <v>49462981</v>
      </c>
      <c r="G55" s="19" t="n">
        <f aca="false">D55/F55</f>
        <v>0.0118081641702913</v>
      </c>
      <c r="H55" s="26" t="n">
        <f aca="false">INDEX(Elections!$I:$I,MATCH(A55,Elections!$A:$A,0))</f>
        <v>0.499549511583218</v>
      </c>
      <c r="I55" s="17" t="n">
        <f aca="false">LN(G55)-LN(H55)</f>
        <v>-3.744915544393</v>
      </c>
      <c r="J55" s="19" t="n">
        <f aca="false">SUMIFS($G:$G,$A:$A,A55,$E:$E,E55)</f>
        <v>0.161283930703651</v>
      </c>
      <c r="K55" s="17" t="n">
        <f aca="false">LN(G55/J55)</f>
        <v>-2.61437518543641</v>
      </c>
    </row>
    <row r="56" customFormat="false" ht="15" hidden="false" customHeight="false" outlineLevel="0" collapsed="false">
      <c r="A56" s="23" t="s">
        <v>145</v>
      </c>
      <c r="B56" s="23" t="s">
        <v>157</v>
      </c>
      <c r="C56" s="23" t="s">
        <v>158</v>
      </c>
      <c r="D56" s="24" t="n">
        <v>482226</v>
      </c>
      <c r="E56" s="23" t="s">
        <v>97</v>
      </c>
      <c r="F56" s="25" t="n">
        <f aca="false">INDEX(Elections!$E:$E,MATCH(A56,Elections!$A:$A,0))</f>
        <v>49462981</v>
      </c>
      <c r="G56" s="19" t="n">
        <f aca="false">D56/F56</f>
        <v>0.00974923043962919</v>
      </c>
      <c r="H56" s="26" t="n">
        <f aca="false">INDEX(Elections!$I:$I,MATCH(A56,Elections!$A:$A,0))</f>
        <v>0.499549511583218</v>
      </c>
      <c r="I56" s="17" t="n">
        <f aca="false">LN(G56)-LN(H56)</f>
        <v>-3.93651836283917</v>
      </c>
      <c r="J56" s="19" t="n">
        <f aca="false">SUMIFS($G:$G,$A:$A,A56,$E:$E,E56)</f>
        <v>0.230383607490216</v>
      </c>
      <c r="K56" s="17" t="n">
        <f aca="false">LN(G56/J56)</f>
        <v>-3.16255742561878</v>
      </c>
      <c r="L56" s="7" t="s">
        <v>169</v>
      </c>
    </row>
    <row r="57" customFormat="false" ht="15" hidden="false" customHeight="false" outlineLevel="0" collapsed="false">
      <c r="A57" s="23" t="s">
        <v>145</v>
      </c>
      <c r="B57" s="23" t="s">
        <v>84</v>
      </c>
      <c r="C57" s="23" t="s">
        <v>83</v>
      </c>
      <c r="D57" s="24" t="n">
        <v>158715</v>
      </c>
      <c r="E57" s="23" t="s">
        <v>85</v>
      </c>
      <c r="F57" s="25" t="n">
        <f aca="false">INDEX(Elections!$E:$E,MATCH(A57,Elections!$A:$A,0))</f>
        <v>49462981</v>
      </c>
      <c r="G57" s="19" t="n">
        <f aca="false">D57/F57</f>
        <v>0.00320876333757563</v>
      </c>
      <c r="H57" s="26" t="n">
        <f aca="false">INDEX(Elections!$I:$I,MATCH(A57,Elections!$A:$A,0))</f>
        <v>0.499549511583218</v>
      </c>
      <c r="I57" s="17" t="n">
        <f aca="false">LN(G57)-LN(H57)</f>
        <v>-5.04782110564386</v>
      </c>
      <c r="J57" s="19" t="n">
        <f aca="false">SUMIFS($G:$G,$A:$A,A57,$E:$E,E57)</f>
        <v>0.161283930703651</v>
      </c>
      <c r="K57" s="17" t="n">
        <f aca="false">LN(G57/J57)</f>
        <v>-3.91728074668727</v>
      </c>
      <c r="L57" s="7" t="s">
        <v>170</v>
      </c>
    </row>
    <row r="58" customFormat="false" ht="15" hidden="false" customHeight="false" outlineLevel="0" collapsed="false">
      <c r="A58" s="23" t="s">
        <v>147</v>
      </c>
      <c r="B58" s="23" t="s">
        <v>100</v>
      </c>
      <c r="C58" s="23" t="s">
        <v>100</v>
      </c>
      <c r="D58" s="24" t="n">
        <v>9379092</v>
      </c>
      <c r="E58" s="23" t="s">
        <v>97</v>
      </c>
      <c r="F58" s="25" t="n">
        <f aca="false">INDEX(Elections!$E:$E,MATCH(A58,Elections!$A:$A,0))</f>
        <v>49332709</v>
      </c>
      <c r="G58" s="19" t="n">
        <f aca="false">D58/F58</f>
        <v>0.190119135764468</v>
      </c>
      <c r="H58" s="26" t="n">
        <f aca="false">INDEX(Elections!$I:$I,MATCH(A58,Elections!$A:$A,0))</f>
        <v>0.35016854638978</v>
      </c>
      <c r="I58" s="17" t="n">
        <f aca="false">LN(G58)-LN(H58)</f>
        <v>-0.610763693685368</v>
      </c>
      <c r="J58" s="19" t="n">
        <f aca="false">SUMIFS($G:$G,$A:$A,A58,$E:$E,E58)</f>
        <v>0.263375238525823</v>
      </c>
      <c r="K58" s="17" t="n">
        <f aca="false">LN(G58/J58)</f>
        <v>-0.325928871776501</v>
      </c>
    </row>
    <row r="59" customFormat="false" ht="15" hidden="false" customHeight="false" outlineLevel="0" collapsed="false">
      <c r="A59" s="23" t="s">
        <v>147</v>
      </c>
      <c r="B59" s="23" t="s">
        <v>171</v>
      </c>
      <c r="C59" s="23" t="s">
        <v>172</v>
      </c>
      <c r="D59" s="24" t="n">
        <v>8995226</v>
      </c>
      <c r="E59" s="23" t="s">
        <v>85</v>
      </c>
      <c r="F59" s="25" t="n">
        <f aca="false">INDEX(Elections!$E:$E,MATCH(A59,Elections!$A:$A,0))</f>
        <v>49332709</v>
      </c>
      <c r="G59" s="19" t="n">
        <f aca="false">D59/F59</f>
        <v>0.18233796972309</v>
      </c>
      <c r="H59" s="26" t="n">
        <f aca="false">INDEX(Elections!$I:$I,MATCH(A59,Elections!$A:$A,0))</f>
        <v>0.35016854638978</v>
      </c>
      <c r="I59" s="17" t="n">
        <f aca="false">LN(G59)-LN(H59)</f>
        <v>-0.652552658155807</v>
      </c>
      <c r="J59" s="19" t="n">
        <f aca="false">SUMIFS($G:$G,$A:$A,A59,$E:$E,E59)</f>
        <v>0.189769023225544</v>
      </c>
      <c r="K59" s="17" t="n">
        <f aca="false">LN(G59/J59)</f>
        <v>-0.0399457238757242</v>
      </c>
    </row>
    <row r="60" customFormat="false" ht="15" hidden="false" customHeight="false" outlineLevel="0" collapsed="false">
      <c r="A60" s="23" t="s">
        <v>147</v>
      </c>
      <c r="B60" s="23" t="s">
        <v>94</v>
      </c>
      <c r="C60" s="23" t="s">
        <v>93</v>
      </c>
      <c r="D60" s="24" t="n">
        <v>6657374</v>
      </c>
      <c r="E60" s="23" t="s">
        <v>95</v>
      </c>
      <c r="F60" s="25" t="n">
        <f aca="false">INDEX(Elections!$E:$E,MATCH(A60,Elections!$A:$A,0))</f>
        <v>49332709</v>
      </c>
      <c r="G60" s="19" t="n">
        <f aca="false">D60/F60</f>
        <v>0.134948478097969</v>
      </c>
      <c r="H60" s="26" t="n">
        <f aca="false">INDEX(Elections!$I:$I,MATCH(A60,Elections!$A:$A,0))</f>
        <v>0.35016854638978</v>
      </c>
      <c r="I60" s="17" t="n">
        <f aca="false">LN(G60)-LN(H60)</f>
        <v>-0.953521537808588</v>
      </c>
      <c r="J60" s="19" t="n">
        <f aca="false">SUMIFS($G:$G,$A:$A,A60,$E:$E,E60)</f>
        <v>0.134948478097969</v>
      </c>
      <c r="K60" s="17" t="n">
        <f aca="false">LN(G60/J60)</f>
        <v>0</v>
      </c>
      <c r="L60" s="7" t="s">
        <v>173</v>
      </c>
    </row>
    <row r="61" customFormat="false" ht="15" hidden="false" customHeight="false" outlineLevel="0" collapsed="false">
      <c r="A61" s="23" t="s">
        <v>147</v>
      </c>
      <c r="B61" s="23" t="s">
        <v>96</v>
      </c>
      <c r="C61" s="23" t="s">
        <v>96</v>
      </c>
      <c r="D61" s="24" t="n">
        <v>2106166</v>
      </c>
      <c r="E61" s="23" t="s">
        <v>97</v>
      </c>
      <c r="F61" s="25" t="n">
        <f aca="false">INDEX(Elections!$E:$E,MATCH(A61,Elections!$A:$A,0))</f>
        <v>49332709</v>
      </c>
      <c r="G61" s="19" t="n">
        <f aca="false">D61/F61</f>
        <v>0.0426930943524711</v>
      </c>
      <c r="H61" s="26" t="n">
        <f aca="false">INDEX(Elections!$I:$I,MATCH(A61,Elections!$A:$A,0))</f>
        <v>0.35016854638978</v>
      </c>
      <c r="I61" s="17" t="n">
        <f aca="false">LN(G61)-LN(H61)</f>
        <v>-2.10437741729454</v>
      </c>
      <c r="J61" s="19" t="n">
        <f aca="false">SUMIFS($G:$G,$A:$A,A61,$E:$E,E61)</f>
        <v>0.263375238525823</v>
      </c>
      <c r="K61" s="17" t="n">
        <f aca="false">LN(G61/J61)</f>
        <v>-1.81954259538567</v>
      </c>
    </row>
    <row r="62" customFormat="false" ht="15" hidden="false" customHeight="false" outlineLevel="0" collapsed="false">
      <c r="A62" s="23" t="s">
        <v>147</v>
      </c>
      <c r="B62" s="23" t="s">
        <v>174</v>
      </c>
      <c r="C62" s="23" t="s">
        <v>175</v>
      </c>
      <c r="D62" s="24" t="n">
        <v>1268822</v>
      </c>
      <c r="E62" s="23" t="s">
        <v>97</v>
      </c>
      <c r="F62" s="25" t="n">
        <f aca="false">INDEX(Elections!$E:$E,MATCH(A62,Elections!$A:$A,0))</f>
        <v>49332709</v>
      </c>
      <c r="G62" s="19" t="n">
        <f aca="false">D62/F62</f>
        <v>0.0257196903579732</v>
      </c>
      <c r="H62" s="26" t="n">
        <f aca="false">INDEX(Elections!$I:$I,MATCH(A62,Elections!$A:$A,0))</f>
        <v>0.35016854638978</v>
      </c>
      <c r="I62" s="17" t="n">
        <f aca="false">LN(G62)-LN(H62)</f>
        <v>-2.61115773934587</v>
      </c>
      <c r="J62" s="19" t="n">
        <f aca="false">SUMIFS($G:$G,$A:$A,A62,$E:$E,E62)</f>
        <v>0.263375238525823</v>
      </c>
      <c r="K62" s="17" t="n">
        <f aca="false">LN(G62/J62)</f>
        <v>-2.32632291743701</v>
      </c>
      <c r="L62" s="7" t="s">
        <v>176</v>
      </c>
    </row>
    <row r="63" customFormat="false" ht="15" hidden="false" customHeight="false" outlineLevel="0" collapsed="false">
      <c r="A63" s="23" t="s">
        <v>147</v>
      </c>
      <c r="B63" s="23" t="s">
        <v>102</v>
      </c>
      <c r="C63" s="23" t="s">
        <v>101</v>
      </c>
      <c r="D63" s="24" t="n">
        <v>238934</v>
      </c>
      <c r="E63" s="23" t="s">
        <v>97</v>
      </c>
      <c r="F63" s="25" t="n">
        <f aca="false">INDEX(Elections!$E:$E,MATCH(A63,Elections!$A:$A,0))</f>
        <v>49332709</v>
      </c>
      <c r="G63" s="19" t="n">
        <f aca="false">D63/F63</f>
        <v>0.0048433180509102</v>
      </c>
      <c r="H63" s="26" t="n">
        <f aca="false">INDEX(Elections!$I:$I,MATCH(A63,Elections!$A:$A,0))</f>
        <v>0.35016854638978</v>
      </c>
      <c r="I63" s="17" t="n">
        <f aca="false">LN(G63)-LN(H63)</f>
        <v>-4.280814566127</v>
      </c>
      <c r="J63" s="19" t="n">
        <f aca="false">SUMIFS($G:$G,$A:$A,A63,$E:$E,E63)</f>
        <v>0.263375238525823</v>
      </c>
      <c r="K63" s="17" t="n">
        <f aca="false">LN(G63/J63)</f>
        <v>-3.99597974421814</v>
      </c>
    </row>
    <row r="64" customFormat="false" ht="15" hidden="false" customHeight="false" outlineLevel="0" collapsed="false">
      <c r="A64" s="23" t="s">
        <v>147</v>
      </c>
      <c r="B64" s="23" t="s">
        <v>84</v>
      </c>
      <c r="C64" s="23" t="s">
        <v>83</v>
      </c>
      <c r="D64" s="24" t="n">
        <v>366594</v>
      </c>
      <c r="E64" s="23" t="s">
        <v>85</v>
      </c>
      <c r="F64" s="25" t="n">
        <f aca="false">INDEX(Elections!$E:$E,MATCH(A64,Elections!$A:$A,0))</f>
        <v>49332709</v>
      </c>
      <c r="G64" s="19" t="n">
        <f aca="false">D64/F64</f>
        <v>0.00743105350245412</v>
      </c>
      <c r="H64" s="26" t="n">
        <f aca="false">INDEX(Elections!$I:$I,MATCH(A64,Elections!$A:$A,0))</f>
        <v>0.35016854638978</v>
      </c>
      <c r="I64" s="17" t="n">
        <f aca="false">LN(G64)-LN(H64)</f>
        <v>-3.85274696063473</v>
      </c>
      <c r="J64" s="19" t="n">
        <f aca="false">SUMIFS($G:$G,$A:$A,A64,$E:$E,E64)</f>
        <v>0.189769023225544</v>
      </c>
      <c r="K64" s="17" t="n">
        <f aca="false">LN(G64/J64)</f>
        <v>-3.24014002635465</v>
      </c>
      <c r="L64" s="7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22"/>
    <col collapsed="false" customWidth="true" hidden="false" outlineLevel="0" max="23" min="4" style="0" width="11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7" t="s">
        <v>179</v>
      </c>
    </row>
    <row r="4" customFormat="false" ht="39.55" hidden="false" customHeight="false" outlineLevel="0" collapsed="false">
      <c r="A4" s="13" t="s">
        <v>180</v>
      </c>
      <c r="B4" s="13" t="s">
        <v>151</v>
      </c>
      <c r="C4" s="13" t="s">
        <v>152</v>
      </c>
      <c r="D4" s="13" t="s">
        <v>57</v>
      </c>
      <c r="E4" s="13" t="s">
        <v>58</v>
      </c>
      <c r="F4" s="13" t="s">
        <v>59</v>
      </c>
      <c r="G4" s="13" t="s">
        <v>60</v>
      </c>
      <c r="H4" s="13" t="s">
        <v>61</v>
      </c>
      <c r="I4" s="13" t="s">
        <v>62</v>
      </c>
      <c r="J4" s="13" t="s">
        <v>63</v>
      </c>
      <c r="K4" s="13" t="s">
        <v>64</v>
      </c>
      <c r="L4" s="13" t="s">
        <v>65</v>
      </c>
      <c r="M4" s="13" t="s">
        <v>66</v>
      </c>
      <c r="N4" s="13" t="s">
        <v>181</v>
      </c>
      <c r="O4" s="13" t="s">
        <v>182</v>
      </c>
      <c r="P4" s="13" t="s">
        <v>183</v>
      </c>
      <c r="Q4" s="13" t="s">
        <v>184</v>
      </c>
      <c r="R4" s="13" t="s">
        <v>185</v>
      </c>
      <c r="S4" s="13" t="s">
        <v>186</v>
      </c>
      <c r="T4" s="13" t="s">
        <v>187</v>
      </c>
      <c r="U4" s="13" t="s">
        <v>188</v>
      </c>
      <c r="V4" s="13" t="s">
        <v>189</v>
      </c>
      <c r="W4" s="13" t="s">
        <v>190</v>
      </c>
    </row>
    <row r="5" customFormat="false" ht="15" hidden="false" customHeight="false" outlineLevel="0" collapsed="false">
      <c r="A5" s="23" t="s">
        <v>142</v>
      </c>
      <c r="B5" s="23" t="s">
        <v>84</v>
      </c>
      <c r="C5" s="23" t="s">
        <v>83</v>
      </c>
      <c r="D5" s="27" t="n">
        <v>0</v>
      </c>
      <c r="E5" s="27" t="n">
        <v>0</v>
      </c>
      <c r="F5" s="27" t="n">
        <v>0</v>
      </c>
      <c r="G5" s="27" t="n">
        <v>2</v>
      </c>
      <c r="H5" s="27" t="n">
        <v>0.5</v>
      </c>
      <c r="I5" s="27" t="n">
        <v>10</v>
      </c>
      <c r="J5" s="27" t="n">
        <v>0.5</v>
      </c>
      <c r="K5" s="27" t="n">
        <v>6</v>
      </c>
      <c r="L5" s="27" t="n">
        <v>6</v>
      </c>
      <c r="M5" s="27" t="n">
        <v>3</v>
      </c>
      <c r="N5" s="23" t="s">
        <v>95</v>
      </c>
      <c r="O5" s="23" t="s">
        <v>95</v>
      </c>
      <c r="P5" s="23" t="s">
        <v>95</v>
      </c>
      <c r="Q5" s="23" t="s">
        <v>95</v>
      </c>
      <c r="R5" s="23" t="s">
        <v>95</v>
      </c>
      <c r="S5" s="23" t="s">
        <v>95</v>
      </c>
      <c r="T5" s="23" t="s">
        <v>95</v>
      </c>
      <c r="U5" s="23" t="s">
        <v>95</v>
      </c>
      <c r="V5" s="23" t="s">
        <v>95</v>
      </c>
      <c r="W5" s="23" t="s">
        <v>95</v>
      </c>
    </row>
    <row r="6" customFormat="false" ht="15" hidden="false" customHeight="false" outlineLevel="0" collapsed="false">
      <c r="A6" s="23" t="s">
        <v>142</v>
      </c>
      <c r="B6" s="23" t="s">
        <v>87</v>
      </c>
      <c r="C6" s="23" t="s">
        <v>86</v>
      </c>
      <c r="D6" s="27" t="n">
        <v>1</v>
      </c>
      <c r="E6" s="27" t="n">
        <v>1.55</v>
      </c>
      <c r="F6" s="27" t="n">
        <v>1</v>
      </c>
      <c r="G6" s="27" t="n">
        <v>3.33</v>
      </c>
      <c r="H6" s="27" t="n">
        <v>1</v>
      </c>
      <c r="I6" s="27" t="n">
        <v>9</v>
      </c>
      <c r="J6" s="27" t="n">
        <v>2</v>
      </c>
      <c r="K6" s="27" t="n">
        <v>7.75</v>
      </c>
      <c r="L6" s="27" t="n">
        <v>6.67</v>
      </c>
      <c r="M6" s="27" t="n">
        <v>5</v>
      </c>
      <c r="N6" s="23" t="s">
        <v>191</v>
      </c>
      <c r="O6" s="23" t="s">
        <v>191</v>
      </c>
      <c r="P6" s="23" t="s">
        <v>95</v>
      </c>
      <c r="Q6" s="23" t="s">
        <v>191</v>
      </c>
      <c r="R6" s="23" t="s">
        <v>95</v>
      </c>
      <c r="S6" s="23" t="s">
        <v>191</v>
      </c>
      <c r="T6" s="23" t="s">
        <v>191</v>
      </c>
      <c r="U6" s="23" t="s">
        <v>191</v>
      </c>
      <c r="V6" s="23" t="s">
        <v>191</v>
      </c>
      <c r="W6" s="23" t="s">
        <v>191</v>
      </c>
    </row>
    <row r="7" customFormat="false" ht="15" hidden="false" customHeight="false" outlineLevel="0" collapsed="false">
      <c r="A7" s="23" t="s">
        <v>142</v>
      </c>
      <c r="B7" s="23" t="s">
        <v>88</v>
      </c>
      <c r="C7" s="23" t="s">
        <v>88</v>
      </c>
      <c r="D7" s="27" t="n">
        <v>1</v>
      </c>
      <c r="E7" s="27" t="n">
        <v>3.09</v>
      </c>
      <c r="F7" s="27" t="n">
        <v>1</v>
      </c>
      <c r="G7" s="27" t="n">
        <v>3.52</v>
      </c>
      <c r="H7" s="27" t="n">
        <v>1.5</v>
      </c>
      <c r="I7" s="27" t="n">
        <v>9</v>
      </c>
      <c r="J7" s="27" t="n">
        <v>2.83</v>
      </c>
      <c r="K7" s="27" t="n">
        <v>6</v>
      </c>
      <c r="L7" s="27" t="n">
        <v>5.67</v>
      </c>
      <c r="M7" s="27" t="n">
        <v>4.5</v>
      </c>
      <c r="N7" s="23" t="s">
        <v>191</v>
      </c>
      <c r="O7" s="23" t="s">
        <v>191</v>
      </c>
      <c r="P7" s="23" t="s">
        <v>95</v>
      </c>
      <c r="Q7" s="23" t="s">
        <v>191</v>
      </c>
      <c r="R7" s="23" t="s">
        <v>95</v>
      </c>
      <c r="S7" s="23" t="s">
        <v>191</v>
      </c>
      <c r="T7" s="23" t="s">
        <v>191</v>
      </c>
      <c r="U7" s="23" t="s">
        <v>191</v>
      </c>
      <c r="V7" s="23" t="s">
        <v>191</v>
      </c>
      <c r="W7" s="23" t="s">
        <v>191</v>
      </c>
    </row>
    <row r="8" customFormat="false" ht="15" hidden="false" customHeight="false" outlineLevel="0" collapsed="false">
      <c r="A8" s="23" t="s">
        <v>142</v>
      </c>
      <c r="B8" s="23" t="s">
        <v>90</v>
      </c>
      <c r="C8" s="23" t="s">
        <v>89</v>
      </c>
      <c r="D8" s="27" t="n">
        <v>1.33</v>
      </c>
      <c r="E8" s="27" t="n">
        <v>1.6</v>
      </c>
      <c r="F8" s="27" t="n">
        <v>1.5</v>
      </c>
      <c r="G8" s="27" t="n">
        <v>8.67</v>
      </c>
      <c r="H8" s="27" t="n">
        <v>2</v>
      </c>
      <c r="I8" s="27" t="n">
        <v>8.6</v>
      </c>
      <c r="J8" s="27" t="n">
        <v>2.17</v>
      </c>
      <c r="K8" s="27" t="n">
        <v>9.25</v>
      </c>
      <c r="L8" s="27" t="n">
        <v>8</v>
      </c>
      <c r="M8" s="27" t="n">
        <v>7</v>
      </c>
      <c r="N8" s="23" t="s">
        <v>191</v>
      </c>
      <c r="O8" s="23" t="s">
        <v>191</v>
      </c>
      <c r="P8" s="23" t="s">
        <v>95</v>
      </c>
      <c r="Q8" s="23" t="s">
        <v>191</v>
      </c>
      <c r="R8" s="23" t="s">
        <v>95</v>
      </c>
      <c r="S8" s="23" t="s">
        <v>191</v>
      </c>
      <c r="T8" s="23" t="s">
        <v>191</v>
      </c>
      <c r="U8" s="23" t="s">
        <v>191</v>
      </c>
      <c r="V8" s="23" t="s">
        <v>191</v>
      </c>
      <c r="W8" s="23" t="s">
        <v>191</v>
      </c>
    </row>
    <row r="9" customFormat="false" ht="15" hidden="false" customHeight="false" outlineLevel="0" collapsed="false">
      <c r="A9" s="23" t="s">
        <v>142</v>
      </c>
      <c r="B9" s="23" t="s">
        <v>92</v>
      </c>
      <c r="C9" s="23" t="s">
        <v>91</v>
      </c>
      <c r="D9" s="27" t="n">
        <v>1.67</v>
      </c>
      <c r="E9" s="27" t="n">
        <v>3.18</v>
      </c>
      <c r="F9" s="27" t="n">
        <v>2</v>
      </c>
      <c r="G9" s="27" t="n">
        <v>8.79</v>
      </c>
      <c r="H9" s="27" t="n">
        <v>3</v>
      </c>
      <c r="I9" s="27" t="n">
        <v>7.8</v>
      </c>
      <c r="J9" s="27" t="n">
        <v>2.83</v>
      </c>
      <c r="K9" s="27" t="n">
        <v>6.75</v>
      </c>
      <c r="L9" s="27" t="n">
        <v>6.67</v>
      </c>
      <c r="M9" s="27" t="n">
        <v>7.67</v>
      </c>
      <c r="N9" s="23" t="s">
        <v>191</v>
      </c>
      <c r="O9" s="23" t="s">
        <v>191</v>
      </c>
      <c r="P9" s="23" t="s">
        <v>95</v>
      </c>
      <c r="Q9" s="23" t="s">
        <v>191</v>
      </c>
      <c r="R9" s="23" t="s">
        <v>95</v>
      </c>
      <c r="S9" s="23" t="s">
        <v>191</v>
      </c>
      <c r="T9" s="23" t="s">
        <v>191</v>
      </c>
      <c r="U9" s="23" t="s">
        <v>191</v>
      </c>
      <c r="V9" s="23" t="s">
        <v>191</v>
      </c>
      <c r="W9" s="23" t="s">
        <v>191</v>
      </c>
    </row>
    <row r="10" customFormat="false" ht="15" hidden="false" customHeight="false" outlineLevel="0" collapsed="false">
      <c r="A10" s="23" t="s">
        <v>142</v>
      </c>
      <c r="B10" s="23" t="s">
        <v>192</v>
      </c>
      <c r="C10" s="23" t="s">
        <v>193</v>
      </c>
      <c r="D10" s="27" t="n">
        <v>6.5</v>
      </c>
      <c r="E10" s="27" t="n">
        <v>5.73</v>
      </c>
      <c r="F10" s="27" t="n">
        <v>6</v>
      </c>
      <c r="G10" s="27" t="n">
        <v>8.79</v>
      </c>
      <c r="H10" s="27" t="n">
        <v>5</v>
      </c>
      <c r="I10" s="27" t="n">
        <v>3.8</v>
      </c>
      <c r="J10" s="27" t="n">
        <v>5.8</v>
      </c>
      <c r="K10" s="27" t="n">
        <v>5.5</v>
      </c>
      <c r="L10" s="27" t="n">
        <v>4.33</v>
      </c>
      <c r="M10" s="27" t="n">
        <v>8.67</v>
      </c>
      <c r="N10" s="23" t="s">
        <v>191</v>
      </c>
      <c r="O10" s="23" t="s">
        <v>191</v>
      </c>
      <c r="P10" s="23" t="s">
        <v>95</v>
      </c>
      <c r="Q10" s="23" t="s">
        <v>191</v>
      </c>
      <c r="R10" s="23" t="s">
        <v>95</v>
      </c>
      <c r="S10" s="23" t="s">
        <v>191</v>
      </c>
      <c r="T10" s="23" t="s">
        <v>191</v>
      </c>
      <c r="U10" s="23" t="s">
        <v>191</v>
      </c>
      <c r="V10" s="23" t="s">
        <v>191</v>
      </c>
      <c r="W10" s="23" t="s">
        <v>191</v>
      </c>
    </row>
    <row r="11" customFormat="false" ht="15" hidden="false" customHeight="false" outlineLevel="0" collapsed="false">
      <c r="A11" s="23" t="s">
        <v>142</v>
      </c>
      <c r="B11" s="23" t="s">
        <v>194</v>
      </c>
      <c r="C11" s="23" t="s">
        <v>194</v>
      </c>
      <c r="D11" s="27" t="n">
        <v>5.33</v>
      </c>
      <c r="E11" s="27" t="n">
        <v>4.67</v>
      </c>
      <c r="F11" s="27" t="n">
        <v>6</v>
      </c>
      <c r="G11" s="27" t="n">
        <v>9.7</v>
      </c>
      <c r="H11" s="27" t="n">
        <v>4.5</v>
      </c>
      <c r="I11" s="27" t="n">
        <v>4.5</v>
      </c>
      <c r="J11" s="27" t="n">
        <v>3.83</v>
      </c>
      <c r="K11" s="27" t="n">
        <v>5.5</v>
      </c>
      <c r="L11" s="27" t="n">
        <v>4.33</v>
      </c>
      <c r="M11" s="27" t="n">
        <v>6.67</v>
      </c>
      <c r="N11" s="23" t="s">
        <v>191</v>
      </c>
      <c r="O11" s="23" t="s">
        <v>191</v>
      </c>
      <c r="P11" s="23" t="s">
        <v>95</v>
      </c>
      <c r="Q11" s="23" t="s">
        <v>191</v>
      </c>
      <c r="R11" s="23" t="s">
        <v>95</v>
      </c>
      <c r="S11" s="23" t="s">
        <v>191</v>
      </c>
      <c r="T11" s="23" t="s">
        <v>191</v>
      </c>
      <c r="U11" s="23" t="s">
        <v>191</v>
      </c>
      <c r="V11" s="23" t="s">
        <v>191</v>
      </c>
      <c r="W11" s="23" t="s">
        <v>191</v>
      </c>
    </row>
    <row r="12" customFormat="false" ht="15" hidden="false" customHeight="false" outlineLevel="0" collapsed="false">
      <c r="A12" s="23" t="s">
        <v>142</v>
      </c>
      <c r="B12" s="23" t="s">
        <v>195</v>
      </c>
      <c r="C12" s="23" t="s">
        <v>196</v>
      </c>
      <c r="D12" s="27" t="n">
        <v>7</v>
      </c>
      <c r="E12" s="27" t="n">
        <v>6</v>
      </c>
      <c r="F12" s="27" t="n">
        <v>7</v>
      </c>
      <c r="G12" s="27" t="n">
        <v>9.07</v>
      </c>
      <c r="H12" s="27" t="n">
        <v>5.5</v>
      </c>
      <c r="I12" s="27" t="n">
        <v>3.6</v>
      </c>
      <c r="J12" s="27" t="n">
        <v>5.5</v>
      </c>
      <c r="K12" s="27" t="n">
        <v>5.5</v>
      </c>
      <c r="L12" s="27" t="n">
        <v>3.67</v>
      </c>
      <c r="M12" s="27" t="n">
        <v>7.33</v>
      </c>
      <c r="N12" s="23" t="s">
        <v>191</v>
      </c>
      <c r="O12" s="23" t="s">
        <v>191</v>
      </c>
      <c r="P12" s="23" t="s">
        <v>95</v>
      </c>
      <c r="Q12" s="23" t="s">
        <v>191</v>
      </c>
      <c r="R12" s="23" t="s">
        <v>95</v>
      </c>
      <c r="S12" s="23" t="s">
        <v>191</v>
      </c>
      <c r="T12" s="23" t="s">
        <v>191</v>
      </c>
      <c r="U12" s="23" t="s">
        <v>191</v>
      </c>
      <c r="V12" s="23" t="s">
        <v>191</v>
      </c>
      <c r="W12" s="23" t="s">
        <v>191</v>
      </c>
    </row>
    <row r="13" customFormat="false" ht="15" hidden="false" customHeight="false" outlineLevel="0" collapsed="false">
      <c r="A13" s="23" t="s">
        <v>142</v>
      </c>
      <c r="B13" s="23" t="s">
        <v>96</v>
      </c>
      <c r="C13" s="23" t="s">
        <v>96</v>
      </c>
      <c r="D13" s="27" t="n">
        <v>7.33</v>
      </c>
      <c r="E13" s="27" t="n">
        <v>8.36</v>
      </c>
      <c r="F13" s="27" t="n">
        <v>7.5</v>
      </c>
      <c r="G13" s="27" t="n">
        <v>7.12</v>
      </c>
      <c r="H13" s="27" t="n">
        <v>7</v>
      </c>
      <c r="I13" s="27" t="n">
        <v>2.6</v>
      </c>
      <c r="J13" s="27" t="n">
        <v>7.83</v>
      </c>
      <c r="K13" s="27" t="n">
        <v>4</v>
      </c>
      <c r="L13" s="27" t="n">
        <v>2.67</v>
      </c>
      <c r="M13" s="27" t="n">
        <v>7</v>
      </c>
      <c r="N13" s="23" t="s">
        <v>191</v>
      </c>
      <c r="O13" s="23" t="s">
        <v>191</v>
      </c>
      <c r="P13" s="23" t="s">
        <v>95</v>
      </c>
      <c r="Q13" s="23" t="s">
        <v>191</v>
      </c>
      <c r="R13" s="23" t="s">
        <v>95</v>
      </c>
      <c r="S13" s="23" t="s">
        <v>191</v>
      </c>
      <c r="T13" s="23" t="s">
        <v>191</v>
      </c>
      <c r="U13" s="23" t="s">
        <v>191</v>
      </c>
      <c r="V13" s="23" t="s">
        <v>191</v>
      </c>
      <c r="W13" s="23" t="s">
        <v>191</v>
      </c>
    </row>
    <row r="14" customFormat="false" ht="15" hidden="false" customHeight="false" outlineLevel="0" collapsed="false">
      <c r="A14" s="23" t="s">
        <v>142</v>
      </c>
      <c r="B14" s="23" t="s">
        <v>174</v>
      </c>
      <c r="C14" s="23" t="s">
        <v>175</v>
      </c>
      <c r="D14" s="27" t="n">
        <v>8</v>
      </c>
      <c r="E14" s="27" t="n">
        <v>9</v>
      </c>
      <c r="F14" s="27" t="n">
        <v>5.5</v>
      </c>
      <c r="G14" s="27" t="n">
        <v>3</v>
      </c>
      <c r="H14" s="27" t="n">
        <v>8</v>
      </c>
      <c r="I14" s="27" t="n">
        <v>3</v>
      </c>
      <c r="J14" s="27" t="n">
        <v>9</v>
      </c>
      <c r="K14" s="27" t="n">
        <v>2.5</v>
      </c>
      <c r="L14" s="27" t="n">
        <v>2.5</v>
      </c>
      <c r="M14" s="27" t="n">
        <v>5</v>
      </c>
      <c r="N14" s="23" t="s">
        <v>95</v>
      </c>
      <c r="O14" s="23" t="s">
        <v>95</v>
      </c>
      <c r="P14" s="23" t="s">
        <v>95</v>
      </c>
      <c r="Q14" s="23" t="s">
        <v>95</v>
      </c>
      <c r="R14" s="23" t="s">
        <v>95</v>
      </c>
      <c r="S14" s="23" t="s">
        <v>95</v>
      </c>
      <c r="T14" s="23" t="s">
        <v>95</v>
      </c>
      <c r="U14" s="23" t="s">
        <v>95</v>
      </c>
      <c r="V14" s="23" t="s">
        <v>95</v>
      </c>
      <c r="W14" s="23" t="s">
        <v>95</v>
      </c>
    </row>
    <row r="15" customFormat="false" ht="15" hidden="false" customHeight="false" outlineLevel="0" collapsed="false">
      <c r="A15" s="23" t="s">
        <v>142</v>
      </c>
      <c r="B15" s="23" t="s">
        <v>99</v>
      </c>
      <c r="C15" s="23" t="s">
        <v>98</v>
      </c>
      <c r="D15" s="27" t="n">
        <v>6.5</v>
      </c>
      <c r="E15" s="27" t="n">
        <v>9.33</v>
      </c>
      <c r="F15" s="27" t="n">
        <v>5</v>
      </c>
      <c r="G15" s="27" t="n">
        <v>0.71</v>
      </c>
      <c r="H15" s="27" t="n">
        <v>6.5</v>
      </c>
      <c r="I15" s="27" t="n">
        <v>3.6</v>
      </c>
      <c r="J15" s="27" t="n">
        <v>9</v>
      </c>
      <c r="K15" s="27" t="n">
        <v>3</v>
      </c>
      <c r="L15" s="27" t="n">
        <v>3.5</v>
      </c>
      <c r="M15" s="27" t="n">
        <v>5</v>
      </c>
      <c r="N15" s="23" t="s">
        <v>197</v>
      </c>
      <c r="O15" s="23" t="s">
        <v>197</v>
      </c>
      <c r="P15" s="23" t="s">
        <v>95</v>
      </c>
      <c r="Q15" s="23" t="s">
        <v>197</v>
      </c>
      <c r="R15" s="23" t="s">
        <v>95</v>
      </c>
      <c r="S15" s="23" t="s">
        <v>197</v>
      </c>
      <c r="T15" s="23" t="s">
        <v>197</v>
      </c>
      <c r="U15" s="23" t="s">
        <v>95</v>
      </c>
      <c r="V15" s="23" t="s">
        <v>197</v>
      </c>
      <c r="W15" s="23" t="s">
        <v>95</v>
      </c>
    </row>
    <row r="16" customFormat="false" ht="15" hidden="false" customHeight="false" outlineLevel="0" collapsed="false">
      <c r="A16" s="23" t="s">
        <v>142</v>
      </c>
      <c r="B16" s="23" t="s">
        <v>100</v>
      </c>
      <c r="C16" s="23" t="s">
        <v>100</v>
      </c>
      <c r="D16" s="27" t="n">
        <v>4.33</v>
      </c>
      <c r="E16" s="27" t="n">
        <v>9.55</v>
      </c>
      <c r="F16" s="27" t="n">
        <v>3.5</v>
      </c>
      <c r="G16" s="27" t="n">
        <v>1.97</v>
      </c>
      <c r="H16" s="27" t="n">
        <v>7.5</v>
      </c>
      <c r="I16" s="27" t="n">
        <v>5.3</v>
      </c>
      <c r="J16" s="27" t="n">
        <v>8.83</v>
      </c>
      <c r="K16" s="27" t="n">
        <v>2.5</v>
      </c>
      <c r="L16" s="27" t="n">
        <v>2</v>
      </c>
      <c r="M16" s="27" t="n">
        <v>2.33</v>
      </c>
      <c r="N16" s="23" t="s">
        <v>191</v>
      </c>
      <c r="O16" s="23" t="s">
        <v>191</v>
      </c>
      <c r="P16" s="23" t="s">
        <v>95</v>
      </c>
      <c r="Q16" s="23" t="s">
        <v>191</v>
      </c>
      <c r="R16" s="23" t="s">
        <v>95</v>
      </c>
      <c r="S16" s="23" t="s">
        <v>191</v>
      </c>
      <c r="T16" s="23" t="s">
        <v>191</v>
      </c>
      <c r="U16" s="23" t="s">
        <v>191</v>
      </c>
      <c r="V16" s="23" t="s">
        <v>191</v>
      </c>
      <c r="W16" s="23" t="s">
        <v>191</v>
      </c>
    </row>
    <row r="17" customFormat="false" ht="15" hidden="false" customHeight="false" outlineLevel="0" collapsed="false">
      <c r="A17" s="23" t="s">
        <v>142</v>
      </c>
      <c r="B17" s="23" t="s">
        <v>102</v>
      </c>
      <c r="C17" s="23" t="s">
        <v>101</v>
      </c>
      <c r="D17" s="27" t="n">
        <v>8.5</v>
      </c>
      <c r="E17" s="27" t="n">
        <v>9.67</v>
      </c>
      <c r="F17" s="27" t="n">
        <v>6</v>
      </c>
      <c r="G17" s="27" t="n">
        <v>1.06</v>
      </c>
      <c r="H17" s="27" t="n">
        <v>9</v>
      </c>
      <c r="I17" s="27" t="n">
        <v>2.11</v>
      </c>
      <c r="J17" s="27" t="n">
        <v>9.5</v>
      </c>
      <c r="K17" s="27" t="n">
        <v>1.67</v>
      </c>
      <c r="L17" s="27" t="n">
        <v>2.17</v>
      </c>
      <c r="M17" s="27" t="n">
        <v>5</v>
      </c>
      <c r="N17" s="23" t="s">
        <v>191</v>
      </c>
      <c r="O17" s="23" t="s">
        <v>191</v>
      </c>
      <c r="P17" s="23" t="s">
        <v>95</v>
      </c>
      <c r="Q17" s="23" t="s">
        <v>191</v>
      </c>
      <c r="R17" s="23" t="s">
        <v>95</v>
      </c>
      <c r="S17" s="23" t="s">
        <v>191</v>
      </c>
      <c r="T17" s="23" t="s">
        <v>191</v>
      </c>
      <c r="U17" s="23" t="s">
        <v>191</v>
      </c>
      <c r="V17" s="23" t="s">
        <v>191</v>
      </c>
      <c r="W17" s="23" t="s">
        <v>191</v>
      </c>
    </row>
    <row r="18" customFormat="false" ht="15" hidden="false" customHeight="false" outlineLevel="0" collapsed="false">
      <c r="A18" s="23" t="s">
        <v>142</v>
      </c>
      <c r="B18" s="23" t="s">
        <v>157</v>
      </c>
      <c r="C18" s="23" t="s">
        <v>158</v>
      </c>
      <c r="D18" s="27" t="n">
        <v>5</v>
      </c>
      <c r="E18" s="27" t="n">
        <v>7</v>
      </c>
      <c r="F18" s="27" t="n">
        <v>5</v>
      </c>
      <c r="G18" s="27" t="n">
        <v>0</v>
      </c>
      <c r="H18" s="27" t="n">
        <v>3</v>
      </c>
      <c r="I18" s="27" t="n">
        <v>5</v>
      </c>
      <c r="J18" s="27" t="n">
        <v>7</v>
      </c>
      <c r="K18" s="27" t="n">
        <v>3</v>
      </c>
      <c r="L18" s="27" t="n">
        <v>3</v>
      </c>
      <c r="M18" s="27" t="n">
        <v>2</v>
      </c>
      <c r="N18" s="23" t="s">
        <v>95</v>
      </c>
      <c r="O18" s="23" t="s">
        <v>95</v>
      </c>
      <c r="P18" s="23" t="s">
        <v>95</v>
      </c>
      <c r="Q18" s="23" t="s">
        <v>95</v>
      </c>
      <c r="R18" s="23" t="s">
        <v>95</v>
      </c>
      <c r="S18" s="23" t="s">
        <v>95</v>
      </c>
      <c r="T18" s="23" t="s">
        <v>95</v>
      </c>
      <c r="U18" s="23" t="s">
        <v>95</v>
      </c>
      <c r="V18" s="23" t="s">
        <v>95</v>
      </c>
      <c r="W18" s="23" t="s">
        <v>95</v>
      </c>
    </row>
    <row r="19" customFormat="false" ht="15" hidden="false" customHeight="false" outlineLevel="0" collapsed="false">
      <c r="A19" s="23" t="s">
        <v>134</v>
      </c>
      <c r="B19" s="23" t="s">
        <v>84</v>
      </c>
      <c r="C19" s="23" t="s">
        <v>83</v>
      </c>
      <c r="D19" s="27" t="n">
        <v>0</v>
      </c>
      <c r="E19" s="27" t="n">
        <v>0</v>
      </c>
      <c r="F19" s="27" t="n">
        <v>0</v>
      </c>
      <c r="G19" s="27" t="n">
        <v>2</v>
      </c>
      <c r="H19" s="27" t="n">
        <v>0.5</v>
      </c>
      <c r="I19" s="27" t="n">
        <v>10</v>
      </c>
      <c r="J19" s="27" t="n">
        <v>0.5</v>
      </c>
      <c r="K19" s="27" t="n">
        <v>6</v>
      </c>
      <c r="L19" s="27" t="n">
        <v>6</v>
      </c>
      <c r="M19" s="27" t="n">
        <v>3</v>
      </c>
      <c r="N19" s="23" t="s">
        <v>95</v>
      </c>
      <c r="O19" s="23" t="s">
        <v>95</v>
      </c>
      <c r="P19" s="23" t="s">
        <v>95</v>
      </c>
      <c r="Q19" s="23" t="s">
        <v>95</v>
      </c>
      <c r="R19" s="23" t="s">
        <v>95</v>
      </c>
      <c r="S19" s="23" t="s">
        <v>95</v>
      </c>
      <c r="T19" s="23" t="s">
        <v>95</v>
      </c>
      <c r="U19" s="23" t="s">
        <v>95</v>
      </c>
      <c r="V19" s="23" t="s">
        <v>95</v>
      </c>
      <c r="W19" s="23" t="s">
        <v>95</v>
      </c>
    </row>
    <row r="20" customFormat="false" ht="15" hidden="false" customHeight="false" outlineLevel="0" collapsed="false">
      <c r="A20" s="23" t="s">
        <v>134</v>
      </c>
      <c r="B20" s="23" t="s">
        <v>87</v>
      </c>
      <c r="C20" s="23" t="s">
        <v>86</v>
      </c>
      <c r="D20" s="27" t="n">
        <v>0.62</v>
      </c>
      <c r="E20" s="27" t="n">
        <v>4</v>
      </c>
      <c r="F20" s="27" t="n">
        <v>1</v>
      </c>
      <c r="G20" s="27" t="n">
        <v>3.12</v>
      </c>
      <c r="H20" s="27" t="n">
        <v>1</v>
      </c>
      <c r="I20" s="27" t="n">
        <v>9.38</v>
      </c>
      <c r="J20" s="27" t="n">
        <v>1.88</v>
      </c>
      <c r="K20" s="27" t="n">
        <v>7.75</v>
      </c>
      <c r="L20" s="27" t="n">
        <v>6.12</v>
      </c>
      <c r="M20" s="27" t="n">
        <v>5</v>
      </c>
      <c r="N20" s="23" t="s">
        <v>197</v>
      </c>
      <c r="O20" s="23" t="s">
        <v>197</v>
      </c>
      <c r="P20" s="23" t="s">
        <v>95</v>
      </c>
      <c r="Q20" s="23" t="s">
        <v>197</v>
      </c>
      <c r="R20" s="23" t="s">
        <v>95</v>
      </c>
      <c r="S20" s="23" t="s">
        <v>197</v>
      </c>
      <c r="T20" s="23" t="s">
        <v>197</v>
      </c>
      <c r="U20" s="23" t="s">
        <v>191</v>
      </c>
      <c r="V20" s="23" t="s">
        <v>197</v>
      </c>
      <c r="W20" s="23" t="s">
        <v>191</v>
      </c>
    </row>
    <row r="21" customFormat="false" ht="15" hidden="false" customHeight="false" outlineLevel="0" collapsed="false">
      <c r="A21" s="23" t="s">
        <v>134</v>
      </c>
      <c r="B21" s="23" t="s">
        <v>88</v>
      </c>
      <c r="C21" s="23" t="s">
        <v>88</v>
      </c>
      <c r="D21" s="27" t="n">
        <v>0.38</v>
      </c>
      <c r="E21" s="27" t="n">
        <v>3.25</v>
      </c>
      <c r="F21" s="27" t="n">
        <v>1</v>
      </c>
      <c r="G21" s="27" t="n">
        <v>3.33</v>
      </c>
      <c r="H21" s="27" t="n">
        <v>1.5</v>
      </c>
      <c r="I21" s="27" t="n">
        <v>9.5</v>
      </c>
      <c r="J21" s="27" t="n">
        <v>2.5</v>
      </c>
      <c r="K21" s="27" t="n">
        <v>6</v>
      </c>
      <c r="L21" s="27" t="n">
        <v>6.14</v>
      </c>
      <c r="M21" s="27" t="n">
        <v>4.5</v>
      </c>
      <c r="N21" s="23" t="s">
        <v>197</v>
      </c>
      <c r="O21" s="23" t="s">
        <v>197</v>
      </c>
      <c r="P21" s="23" t="s">
        <v>95</v>
      </c>
      <c r="Q21" s="23" t="s">
        <v>197</v>
      </c>
      <c r="R21" s="23" t="s">
        <v>95</v>
      </c>
      <c r="S21" s="23" t="s">
        <v>197</v>
      </c>
      <c r="T21" s="23" t="s">
        <v>197</v>
      </c>
      <c r="U21" s="23" t="s">
        <v>191</v>
      </c>
      <c r="V21" s="23" t="s">
        <v>197</v>
      </c>
      <c r="W21" s="23" t="s">
        <v>191</v>
      </c>
    </row>
    <row r="22" customFormat="false" ht="15" hidden="false" customHeight="false" outlineLevel="0" collapsed="false">
      <c r="A22" s="23" t="s">
        <v>134</v>
      </c>
      <c r="B22" s="23" t="s">
        <v>90</v>
      </c>
      <c r="C22" s="23" t="s">
        <v>89</v>
      </c>
      <c r="D22" s="27" t="n">
        <v>1.75</v>
      </c>
      <c r="E22" s="27" t="n">
        <v>1.62</v>
      </c>
      <c r="F22" s="27" t="n">
        <v>1.5</v>
      </c>
      <c r="G22" s="27" t="n">
        <v>8.96</v>
      </c>
      <c r="H22" s="27" t="n">
        <v>2</v>
      </c>
      <c r="I22" s="27" t="n">
        <v>7.62</v>
      </c>
      <c r="J22" s="27" t="n">
        <v>1.25</v>
      </c>
      <c r="K22" s="27" t="n">
        <v>9.25</v>
      </c>
      <c r="L22" s="27" t="n">
        <v>8.38</v>
      </c>
      <c r="M22" s="27" t="n">
        <v>7</v>
      </c>
      <c r="N22" s="23" t="s">
        <v>197</v>
      </c>
      <c r="O22" s="23" t="s">
        <v>197</v>
      </c>
      <c r="P22" s="23" t="s">
        <v>95</v>
      </c>
      <c r="Q22" s="23" t="s">
        <v>197</v>
      </c>
      <c r="R22" s="23" t="s">
        <v>95</v>
      </c>
      <c r="S22" s="23" t="s">
        <v>197</v>
      </c>
      <c r="T22" s="23" t="s">
        <v>197</v>
      </c>
      <c r="U22" s="23" t="s">
        <v>191</v>
      </c>
      <c r="V22" s="23" t="s">
        <v>197</v>
      </c>
      <c r="W22" s="23" t="s">
        <v>191</v>
      </c>
    </row>
    <row r="23" customFormat="false" ht="15" hidden="false" customHeight="false" outlineLevel="0" collapsed="false">
      <c r="A23" s="23" t="s">
        <v>134</v>
      </c>
      <c r="B23" s="23" t="s">
        <v>92</v>
      </c>
      <c r="C23" s="23" t="s">
        <v>91</v>
      </c>
      <c r="D23" s="27" t="n">
        <v>2.12</v>
      </c>
      <c r="E23" s="27" t="n">
        <v>2.75</v>
      </c>
      <c r="F23" s="27" t="n">
        <v>2</v>
      </c>
      <c r="G23" s="27" t="n">
        <v>8.54</v>
      </c>
      <c r="H23" s="27" t="n">
        <v>3</v>
      </c>
      <c r="I23" s="27" t="n">
        <v>7.75</v>
      </c>
      <c r="J23" s="27" t="n">
        <v>2</v>
      </c>
      <c r="K23" s="27" t="n">
        <v>6.75</v>
      </c>
      <c r="L23" s="27" t="n">
        <v>6</v>
      </c>
      <c r="M23" s="27" t="n">
        <v>7.67</v>
      </c>
      <c r="N23" s="23" t="s">
        <v>197</v>
      </c>
      <c r="O23" s="23" t="s">
        <v>197</v>
      </c>
      <c r="P23" s="23" t="s">
        <v>95</v>
      </c>
      <c r="Q23" s="23" t="s">
        <v>197</v>
      </c>
      <c r="R23" s="23" t="s">
        <v>95</v>
      </c>
      <c r="S23" s="23" t="s">
        <v>197</v>
      </c>
      <c r="T23" s="23" t="s">
        <v>197</v>
      </c>
      <c r="U23" s="23" t="s">
        <v>191</v>
      </c>
      <c r="V23" s="23" t="s">
        <v>197</v>
      </c>
      <c r="W23" s="23" t="s">
        <v>191</v>
      </c>
    </row>
    <row r="24" customFormat="false" ht="15" hidden="false" customHeight="false" outlineLevel="0" collapsed="false">
      <c r="A24" s="23" t="s">
        <v>134</v>
      </c>
      <c r="B24" s="23" t="s">
        <v>192</v>
      </c>
      <c r="C24" s="23" t="s">
        <v>193</v>
      </c>
      <c r="D24" s="27" t="n">
        <v>5.5</v>
      </c>
      <c r="E24" s="27" t="n">
        <v>5.67</v>
      </c>
      <c r="F24" s="27" t="n">
        <v>6</v>
      </c>
      <c r="G24" s="27" t="n">
        <v>9.72</v>
      </c>
      <c r="H24" s="27" t="n">
        <v>5</v>
      </c>
      <c r="I24" s="27" t="n">
        <v>4.17</v>
      </c>
      <c r="J24" s="27" t="n">
        <v>6</v>
      </c>
      <c r="K24" s="27" t="n">
        <v>5.5</v>
      </c>
      <c r="L24" s="27" t="n">
        <v>4.83</v>
      </c>
      <c r="M24" s="27" t="n">
        <v>8.67</v>
      </c>
      <c r="N24" s="23" t="s">
        <v>197</v>
      </c>
      <c r="O24" s="23" t="s">
        <v>197</v>
      </c>
      <c r="P24" s="23" t="s">
        <v>95</v>
      </c>
      <c r="Q24" s="23" t="s">
        <v>197</v>
      </c>
      <c r="R24" s="23" t="s">
        <v>95</v>
      </c>
      <c r="S24" s="23" t="s">
        <v>197</v>
      </c>
      <c r="T24" s="23" t="s">
        <v>197</v>
      </c>
      <c r="U24" s="23" t="s">
        <v>191</v>
      </c>
      <c r="V24" s="23" t="s">
        <v>197</v>
      </c>
      <c r="W24" s="23" t="s">
        <v>191</v>
      </c>
    </row>
    <row r="25" customFormat="false" ht="15" hidden="false" customHeight="false" outlineLevel="0" collapsed="false">
      <c r="A25" s="23" t="s">
        <v>134</v>
      </c>
      <c r="B25" s="23" t="s">
        <v>194</v>
      </c>
      <c r="C25" s="23" t="s">
        <v>194</v>
      </c>
      <c r="D25" s="27" t="n">
        <v>6.29</v>
      </c>
      <c r="E25" s="27" t="n">
        <v>5.38</v>
      </c>
      <c r="F25" s="27" t="n">
        <v>6</v>
      </c>
      <c r="G25" s="27" t="n">
        <v>9.52</v>
      </c>
      <c r="H25" s="27" t="n">
        <v>4.5</v>
      </c>
      <c r="I25" s="27" t="n">
        <v>4.14</v>
      </c>
      <c r="J25" s="27" t="n">
        <v>4.57</v>
      </c>
      <c r="K25" s="27" t="n">
        <v>5.5</v>
      </c>
      <c r="L25" s="27" t="n">
        <v>3.86</v>
      </c>
      <c r="M25" s="27" t="n">
        <v>6.67</v>
      </c>
      <c r="N25" s="23" t="s">
        <v>197</v>
      </c>
      <c r="O25" s="23" t="s">
        <v>197</v>
      </c>
      <c r="P25" s="23" t="s">
        <v>95</v>
      </c>
      <c r="Q25" s="23" t="s">
        <v>197</v>
      </c>
      <c r="R25" s="23" t="s">
        <v>95</v>
      </c>
      <c r="S25" s="23" t="s">
        <v>197</v>
      </c>
      <c r="T25" s="23" t="s">
        <v>197</v>
      </c>
      <c r="U25" s="23" t="s">
        <v>191</v>
      </c>
      <c r="V25" s="23" t="s">
        <v>197</v>
      </c>
      <c r="W25" s="23" t="s">
        <v>191</v>
      </c>
    </row>
    <row r="26" customFormat="false" ht="15" hidden="false" customHeight="false" outlineLevel="0" collapsed="false">
      <c r="A26" s="23" t="s">
        <v>134</v>
      </c>
      <c r="B26" s="23" t="s">
        <v>195</v>
      </c>
      <c r="C26" s="23" t="s">
        <v>196</v>
      </c>
      <c r="D26" s="27" t="n">
        <v>7</v>
      </c>
      <c r="E26" s="27" t="n">
        <v>6</v>
      </c>
      <c r="F26" s="27" t="n">
        <v>7</v>
      </c>
      <c r="G26" s="27" t="n">
        <v>9.07</v>
      </c>
      <c r="H26" s="27" t="n">
        <v>5.5</v>
      </c>
      <c r="I26" s="27" t="n">
        <v>3.6</v>
      </c>
      <c r="J26" s="27" t="n">
        <v>5.5</v>
      </c>
      <c r="K26" s="27" t="n">
        <v>5.5</v>
      </c>
      <c r="L26" s="27" t="n">
        <v>3.67</v>
      </c>
      <c r="M26" s="27" t="n">
        <v>7.33</v>
      </c>
      <c r="N26" s="23" t="s">
        <v>191</v>
      </c>
      <c r="O26" s="23" t="s">
        <v>191</v>
      </c>
      <c r="P26" s="23" t="s">
        <v>95</v>
      </c>
      <c r="Q26" s="23" t="s">
        <v>191</v>
      </c>
      <c r="R26" s="23" t="s">
        <v>95</v>
      </c>
      <c r="S26" s="23" t="s">
        <v>191</v>
      </c>
      <c r="T26" s="23" t="s">
        <v>191</v>
      </c>
      <c r="U26" s="23" t="s">
        <v>191</v>
      </c>
      <c r="V26" s="23" t="s">
        <v>191</v>
      </c>
      <c r="W26" s="23" t="s">
        <v>191</v>
      </c>
    </row>
    <row r="27" customFormat="false" ht="15" hidden="false" customHeight="false" outlineLevel="0" collapsed="false">
      <c r="A27" s="23" t="s">
        <v>134</v>
      </c>
      <c r="B27" s="23" t="s">
        <v>96</v>
      </c>
      <c r="C27" s="23" t="s">
        <v>96</v>
      </c>
      <c r="D27" s="27" t="n">
        <v>8.5</v>
      </c>
      <c r="E27" s="27" t="n">
        <v>7.88</v>
      </c>
      <c r="F27" s="27" t="n">
        <v>7.5</v>
      </c>
      <c r="G27" s="27" t="n">
        <v>7.5</v>
      </c>
      <c r="H27" s="27" t="n">
        <v>7</v>
      </c>
      <c r="I27" s="27" t="n">
        <v>2.62</v>
      </c>
      <c r="J27" s="27" t="n">
        <v>7.62</v>
      </c>
      <c r="K27" s="27" t="n">
        <v>4</v>
      </c>
      <c r="L27" s="27" t="n">
        <v>2.75</v>
      </c>
      <c r="M27" s="27" t="n">
        <v>7</v>
      </c>
      <c r="N27" s="23" t="s">
        <v>197</v>
      </c>
      <c r="O27" s="23" t="s">
        <v>197</v>
      </c>
      <c r="P27" s="23" t="s">
        <v>95</v>
      </c>
      <c r="Q27" s="23" t="s">
        <v>197</v>
      </c>
      <c r="R27" s="23" t="s">
        <v>95</v>
      </c>
      <c r="S27" s="23" t="s">
        <v>197</v>
      </c>
      <c r="T27" s="23" t="s">
        <v>197</v>
      </c>
      <c r="U27" s="23" t="s">
        <v>191</v>
      </c>
      <c r="V27" s="23" t="s">
        <v>197</v>
      </c>
      <c r="W27" s="23" t="s">
        <v>191</v>
      </c>
    </row>
    <row r="28" customFormat="false" ht="15" hidden="false" customHeight="false" outlineLevel="0" collapsed="false">
      <c r="A28" s="23" t="s">
        <v>134</v>
      </c>
      <c r="B28" s="23" t="s">
        <v>174</v>
      </c>
      <c r="C28" s="23" t="s">
        <v>175</v>
      </c>
      <c r="D28" s="27" t="n">
        <v>8</v>
      </c>
      <c r="E28" s="27" t="n">
        <v>9</v>
      </c>
      <c r="F28" s="27" t="n">
        <v>5.5</v>
      </c>
      <c r="G28" s="27" t="n">
        <v>3</v>
      </c>
      <c r="H28" s="27" t="n">
        <v>8</v>
      </c>
      <c r="I28" s="27" t="n">
        <v>3</v>
      </c>
      <c r="J28" s="27" t="n">
        <v>9</v>
      </c>
      <c r="K28" s="27" t="n">
        <v>2.5</v>
      </c>
      <c r="L28" s="27" t="n">
        <v>2.5</v>
      </c>
      <c r="M28" s="27" t="n">
        <v>5</v>
      </c>
      <c r="N28" s="23" t="s">
        <v>95</v>
      </c>
      <c r="O28" s="23" t="s">
        <v>95</v>
      </c>
      <c r="P28" s="23" t="s">
        <v>95</v>
      </c>
      <c r="Q28" s="23" t="s">
        <v>95</v>
      </c>
      <c r="R28" s="23" t="s">
        <v>95</v>
      </c>
      <c r="S28" s="23" t="s">
        <v>95</v>
      </c>
      <c r="T28" s="23" t="s">
        <v>95</v>
      </c>
      <c r="U28" s="23" t="s">
        <v>95</v>
      </c>
      <c r="V28" s="23" t="s">
        <v>95</v>
      </c>
      <c r="W28" s="23" t="s">
        <v>95</v>
      </c>
    </row>
    <row r="29" customFormat="false" ht="15" hidden="false" customHeight="false" outlineLevel="0" collapsed="false">
      <c r="A29" s="23" t="s">
        <v>134</v>
      </c>
      <c r="B29" s="23" t="s">
        <v>99</v>
      </c>
      <c r="C29" s="23" t="s">
        <v>98</v>
      </c>
      <c r="D29" s="27" t="n">
        <v>6.5</v>
      </c>
      <c r="E29" s="27" t="n">
        <v>9.33</v>
      </c>
      <c r="F29" s="27" t="n">
        <v>5</v>
      </c>
      <c r="G29" s="27" t="n">
        <v>0.71</v>
      </c>
      <c r="H29" s="27" t="n">
        <v>6.5</v>
      </c>
      <c r="I29" s="27" t="n">
        <v>3.6</v>
      </c>
      <c r="J29" s="27" t="n">
        <v>9</v>
      </c>
      <c r="K29" s="27" t="n">
        <v>3</v>
      </c>
      <c r="L29" s="27" t="n">
        <v>3.5</v>
      </c>
      <c r="M29" s="27" t="n">
        <v>5</v>
      </c>
      <c r="N29" s="23" t="s">
        <v>197</v>
      </c>
      <c r="O29" s="23" t="s">
        <v>197</v>
      </c>
      <c r="P29" s="23" t="s">
        <v>95</v>
      </c>
      <c r="Q29" s="23" t="s">
        <v>197</v>
      </c>
      <c r="R29" s="23" t="s">
        <v>95</v>
      </c>
      <c r="S29" s="23" t="s">
        <v>197</v>
      </c>
      <c r="T29" s="23" t="s">
        <v>197</v>
      </c>
      <c r="U29" s="23" t="s">
        <v>95</v>
      </c>
      <c r="V29" s="23" t="s">
        <v>197</v>
      </c>
      <c r="W29" s="23" t="s">
        <v>95</v>
      </c>
    </row>
    <row r="30" customFormat="false" ht="15" hidden="false" customHeight="false" outlineLevel="0" collapsed="false">
      <c r="A30" s="23" t="s">
        <v>134</v>
      </c>
      <c r="B30" s="23" t="s">
        <v>100</v>
      </c>
      <c r="C30" s="23" t="s">
        <v>100</v>
      </c>
      <c r="D30" s="27" t="n">
        <v>5.43</v>
      </c>
      <c r="E30" s="27" t="n">
        <v>9.88</v>
      </c>
      <c r="F30" s="27" t="n">
        <v>3.5</v>
      </c>
      <c r="G30" s="27" t="n">
        <v>0.62</v>
      </c>
      <c r="H30" s="27" t="n">
        <v>7.5</v>
      </c>
      <c r="I30" s="27" t="n">
        <v>6</v>
      </c>
      <c r="J30" s="27" t="n">
        <v>9.25</v>
      </c>
      <c r="K30" s="27" t="n">
        <v>2.5</v>
      </c>
      <c r="L30" s="27" t="n">
        <v>2.75</v>
      </c>
      <c r="M30" s="27" t="n">
        <v>2.33</v>
      </c>
      <c r="N30" s="23" t="s">
        <v>197</v>
      </c>
      <c r="O30" s="23" t="s">
        <v>197</v>
      </c>
      <c r="P30" s="23" t="s">
        <v>95</v>
      </c>
      <c r="Q30" s="23" t="s">
        <v>197</v>
      </c>
      <c r="R30" s="23" t="s">
        <v>95</v>
      </c>
      <c r="S30" s="23" t="s">
        <v>197</v>
      </c>
      <c r="T30" s="23" t="s">
        <v>197</v>
      </c>
      <c r="U30" s="23" t="s">
        <v>191</v>
      </c>
      <c r="V30" s="23" t="s">
        <v>197</v>
      </c>
      <c r="W30" s="23" t="s">
        <v>191</v>
      </c>
    </row>
    <row r="31" customFormat="false" ht="15" hidden="false" customHeight="false" outlineLevel="0" collapsed="false">
      <c r="A31" s="23" t="s">
        <v>134</v>
      </c>
      <c r="B31" s="23" t="s">
        <v>102</v>
      </c>
      <c r="C31" s="23" t="s">
        <v>101</v>
      </c>
      <c r="D31" s="27" t="n">
        <v>8.5</v>
      </c>
      <c r="E31" s="27" t="n">
        <v>9.67</v>
      </c>
      <c r="F31" s="27" t="n">
        <v>6</v>
      </c>
      <c r="G31" s="27" t="n">
        <v>1.06</v>
      </c>
      <c r="H31" s="27" t="n">
        <v>9</v>
      </c>
      <c r="I31" s="27" t="n">
        <v>2.11</v>
      </c>
      <c r="J31" s="27" t="n">
        <v>9.5</v>
      </c>
      <c r="K31" s="27" t="n">
        <v>1.67</v>
      </c>
      <c r="L31" s="27" t="n">
        <v>2.17</v>
      </c>
      <c r="M31" s="27" t="n">
        <v>5</v>
      </c>
      <c r="N31" s="23" t="s">
        <v>191</v>
      </c>
      <c r="O31" s="23" t="s">
        <v>191</v>
      </c>
      <c r="P31" s="23" t="s">
        <v>95</v>
      </c>
      <c r="Q31" s="23" t="s">
        <v>191</v>
      </c>
      <c r="R31" s="23" t="s">
        <v>95</v>
      </c>
      <c r="S31" s="23" t="s">
        <v>191</v>
      </c>
      <c r="T31" s="23" t="s">
        <v>191</v>
      </c>
      <c r="U31" s="23" t="s">
        <v>191</v>
      </c>
      <c r="V31" s="23" t="s">
        <v>191</v>
      </c>
      <c r="W31" s="23" t="s">
        <v>191</v>
      </c>
    </row>
    <row r="32" customFormat="false" ht="15" hidden="false" customHeight="false" outlineLevel="0" collapsed="false">
      <c r="A32" s="23" t="s">
        <v>134</v>
      </c>
      <c r="B32" s="23" t="s">
        <v>157</v>
      </c>
      <c r="C32" s="23" t="s">
        <v>158</v>
      </c>
      <c r="D32" s="27" t="n">
        <v>5</v>
      </c>
      <c r="E32" s="27" t="n">
        <v>7</v>
      </c>
      <c r="F32" s="27" t="n">
        <v>5</v>
      </c>
      <c r="G32" s="27" t="n">
        <v>0</v>
      </c>
      <c r="H32" s="27" t="n">
        <v>3</v>
      </c>
      <c r="I32" s="27" t="n">
        <v>5</v>
      </c>
      <c r="J32" s="27" t="n">
        <v>7</v>
      </c>
      <c r="K32" s="27" t="n">
        <v>3</v>
      </c>
      <c r="L32" s="27" t="n">
        <v>3</v>
      </c>
      <c r="M32" s="27" t="n">
        <v>2</v>
      </c>
      <c r="N32" s="23" t="s">
        <v>95</v>
      </c>
      <c r="O32" s="23" t="s">
        <v>95</v>
      </c>
      <c r="P32" s="23" t="s">
        <v>95</v>
      </c>
      <c r="Q32" s="23" t="s">
        <v>95</v>
      </c>
      <c r="R32" s="23" t="s">
        <v>95</v>
      </c>
      <c r="S32" s="23" t="s">
        <v>95</v>
      </c>
      <c r="T32" s="23" t="s">
        <v>95</v>
      </c>
      <c r="U32" s="23" t="s">
        <v>95</v>
      </c>
      <c r="V32" s="23" t="s">
        <v>95</v>
      </c>
      <c r="W32" s="23" t="s">
        <v>95</v>
      </c>
    </row>
    <row r="34" customFormat="false" ht="15" hidden="false" customHeight="false" outlineLevel="0" collapsed="false">
      <c r="A34" s="2" t="s">
        <v>198</v>
      </c>
    </row>
    <row r="35" customFormat="false" ht="26.85" hidden="false" customHeight="false" outlineLevel="0" collapsed="false">
      <c r="A35" s="13" t="s">
        <v>199</v>
      </c>
      <c r="B35" s="13" t="s">
        <v>200</v>
      </c>
      <c r="C35" s="13" t="s">
        <v>201</v>
      </c>
      <c r="D35" s="13" t="s">
        <v>202</v>
      </c>
      <c r="E35" s="13" t="s">
        <v>203</v>
      </c>
    </row>
    <row r="36" customFormat="false" ht="15" hidden="false" customHeight="false" outlineLevel="0" collapsed="false">
      <c r="A36" s="8" t="s">
        <v>204</v>
      </c>
      <c r="B36" s="8" t="s">
        <v>57</v>
      </c>
      <c r="C36" s="8" t="s">
        <v>205</v>
      </c>
      <c r="D36" s="8" t="s">
        <v>206</v>
      </c>
      <c r="E36" s="8" t="s">
        <v>207</v>
      </c>
    </row>
    <row r="37" customFormat="false" ht="15" hidden="false" customHeight="false" outlineLevel="0" collapsed="false">
      <c r="A37" s="8" t="s">
        <v>208</v>
      </c>
      <c r="B37" s="8" t="s">
        <v>58</v>
      </c>
      <c r="C37" s="8" t="s">
        <v>209</v>
      </c>
      <c r="D37" s="8" t="s">
        <v>210</v>
      </c>
      <c r="E37" s="8" t="s">
        <v>211</v>
      </c>
    </row>
    <row r="38" customFormat="false" ht="15" hidden="false" customHeight="false" outlineLevel="0" collapsed="false">
      <c r="A38" s="8" t="s">
        <v>212</v>
      </c>
      <c r="B38" s="8" t="s">
        <v>59</v>
      </c>
      <c r="C38" s="8" t="s">
        <v>213</v>
      </c>
      <c r="D38" s="8" t="s">
        <v>214</v>
      </c>
      <c r="E38" s="8" t="s">
        <v>215</v>
      </c>
    </row>
    <row r="39" customFormat="false" ht="15" hidden="false" customHeight="false" outlineLevel="0" collapsed="false">
      <c r="A39" s="8" t="s">
        <v>216</v>
      </c>
      <c r="B39" s="8" t="s">
        <v>60</v>
      </c>
      <c r="C39" s="8" t="s">
        <v>217</v>
      </c>
      <c r="D39" s="8" t="s">
        <v>218</v>
      </c>
      <c r="E39" s="8" t="s">
        <v>219</v>
      </c>
    </row>
    <row r="40" customFormat="false" ht="15" hidden="false" customHeight="false" outlineLevel="0" collapsed="false">
      <c r="A40" s="8" t="s">
        <v>220</v>
      </c>
      <c r="B40" s="8" t="s">
        <v>61</v>
      </c>
      <c r="C40" s="8" t="s">
        <v>221</v>
      </c>
      <c r="D40" s="8" t="s">
        <v>222</v>
      </c>
      <c r="E40" s="8" t="s">
        <v>223</v>
      </c>
    </row>
    <row r="41" customFormat="false" ht="15" hidden="false" customHeight="false" outlineLevel="0" collapsed="false">
      <c r="A41" s="8" t="s">
        <v>224</v>
      </c>
      <c r="B41" s="8" t="s">
        <v>62</v>
      </c>
      <c r="C41" s="8" t="s">
        <v>225</v>
      </c>
      <c r="D41" s="8" t="s">
        <v>226</v>
      </c>
      <c r="E41" s="8" t="s">
        <v>227</v>
      </c>
    </row>
    <row r="42" customFormat="false" ht="15" hidden="false" customHeight="false" outlineLevel="0" collapsed="false">
      <c r="A42" s="8" t="s">
        <v>228</v>
      </c>
      <c r="B42" s="8" t="s">
        <v>63</v>
      </c>
      <c r="C42" s="8" t="s">
        <v>229</v>
      </c>
      <c r="D42" s="8" t="s">
        <v>230</v>
      </c>
      <c r="E42" s="8" t="s">
        <v>231</v>
      </c>
    </row>
    <row r="43" customFormat="false" ht="15" hidden="false" customHeight="false" outlineLevel="0" collapsed="false">
      <c r="A43" s="8" t="s">
        <v>232</v>
      </c>
      <c r="B43" s="8" t="s">
        <v>64</v>
      </c>
      <c r="C43" s="8" t="s">
        <v>233</v>
      </c>
      <c r="D43" s="8" t="s">
        <v>234</v>
      </c>
      <c r="E43" s="8" t="s">
        <v>235</v>
      </c>
    </row>
    <row r="44" customFormat="false" ht="15" hidden="false" customHeight="false" outlineLevel="0" collapsed="false">
      <c r="A44" s="8" t="s">
        <v>236</v>
      </c>
      <c r="B44" s="8" t="s">
        <v>65</v>
      </c>
      <c r="C44" s="8" t="s">
        <v>237</v>
      </c>
      <c r="D44" s="8" t="s">
        <v>238</v>
      </c>
      <c r="E44" s="8" t="s">
        <v>239</v>
      </c>
    </row>
    <row r="45" customFormat="false" ht="15" hidden="false" customHeight="false" outlineLevel="0" collapsed="false">
      <c r="A45" s="8" t="s">
        <v>240</v>
      </c>
      <c r="B45" s="8" t="s">
        <v>66</v>
      </c>
      <c r="C45" s="8" t="s">
        <v>241</v>
      </c>
      <c r="D45" s="8" t="s">
        <v>242</v>
      </c>
      <c r="E45" s="8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0"/>
  </cols>
  <sheetData>
    <row r="1" customFormat="false" ht="17.35" hidden="false" customHeight="false" outlineLevel="0" collapsed="false">
      <c r="A1" s="1" t="s">
        <v>244</v>
      </c>
    </row>
    <row r="2" customFormat="false" ht="15" hidden="false" customHeight="false" outlineLevel="0" collapsed="false">
      <c r="A2" s="7" t="s">
        <v>245</v>
      </c>
    </row>
    <row r="4" customFormat="false" ht="15" hidden="false" customHeight="false" outlineLevel="0" collapsed="false">
      <c r="A4" s="13" t="s">
        <v>246</v>
      </c>
      <c r="B4" s="13" t="s">
        <v>180</v>
      </c>
      <c r="C4" s="13" t="s">
        <v>247</v>
      </c>
      <c r="D4" s="13" t="s">
        <v>248</v>
      </c>
    </row>
    <row r="5" customFormat="false" ht="15" hidden="false" customHeight="false" outlineLevel="0" collapsed="false">
      <c r="A5" s="23" t="s">
        <v>94</v>
      </c>
      <c r="B5" s="23" t="s">
        <v>134</v>
      </c>
      <c r="C5" s="23" t="s">
        <v>192</v>
      </c>
      <c r="D5" s="23" t="n">
        <v>0.8</v>
      </c>
    </row>
    <row r="6" customFormat="false" ht="15" hidden="false" customHeight="false" outlineLevel="0" collapsed="false">
      <c r="A6" s="23" t="s">
        <v>94</v>
      </c>
      <c r="B6" s="23" t="s">
        <v>134</v>
      </c>
      <c r="C6" s="23" t="s">
        <v>194</v>
      </c>
      <c r="D6" s="23" t="n">
        <v>0.2</v>
      </c>
    </row>
    <row r="7" customFormat="false" ht="15" hidden="false" customHeight="false" outlineLevel="0" collapsed="false">
      <c r="A7" s="23" t="s">
        <v>94</v>
      </c>
      <c r="B7" s="23" t="s">
        <v>142</v>
      </c>
      <c r="C7" s="23" t="s">
        <v>192</v>
      </c>
      <c r="D7" s="23" t="n">
        <v>0.7</v>
      </c>
    </row>
    <row r="8" customFormat="false" ht="15" hidden="false" customHeight="false" outlineLevel="0" collapsed="false">
      <c r="A8" s="23" t="s">
        <v>94</v>
      </c>
      <c r="B8" s="23" t="s">
        <v>142</v>
      </c>
      <c r="C8" s="23" t="s">
        <v>194</v>
      </c>
      <c r="D8" s="23" t="n">
        <v>0.2</v>
      </c>
    </row>
    <row r="9" customFormat="false" ht="15" hidden="false" customHeight="false" outlineLevel="0" collapsed="false">
      <c r="A9" s="23" t="s">
        <v>94</v>
      </c>
      <c r="B9" s="23" t="s">
        <v>142</v>
      </c>
      <c r="C9" s="23" t="s">
        <v>195</v>
      </c>
      <c r="D9" s="23" t="n">
        <v>0.1</v>
      </c>
    </row>
    <row r="10" customFormat="false" ht="15" hidden="false" customHeight="false" outlineLevel="0" collapsed="false">
      <c r="A10" s="23" t="s">
        <v>165</v>
      </c>
      <c r="B10" s="23" t="s">
        <v>134</v>
      </c>
      <c r="C10" s="23" t="s">
        <v>87</v>
      </c>
      <c r="D10" s="23" t="n">
        <v>326</v>
      </c>
    </row>
    <row r="11" customFormat="false" ht="15" hidden="false" customHeight="false" outlineLevel="0" collapsed="false">
      <c r="A11" s="23" t="s">
        <v>165</v>
      </c>
      <c r="B11" s="23" t="s">
        <v>134</v>
      </c>
      <c r="C11" s="23" t="s">
        <v>90</v>
      </c>
      <c r="D11" s="23" t="n">
        <v>100</v>
      </c>
    </row>
    <row r="12" customFormat="false" ht="15" hidden="false" customHeight="false" outlineLevel="0" collapsed="false">
      <c r="A12" s="23" t="s">
        <v>165</v>
      </c>
      <c r="B12" s="23" t="s">
        <v>134</v>
      </c>
      <c r="C12" s="23" t="s">
        <v>92</v>
      </c>
      <c r="D12" s="23" t="n">
        <v>70</v>
      </c>
    </row>
    <row r="13" customFormat="false" ht="15" hidden="false" customHeight="false" outlineLevel="0" collapsed="false">
      <c r="A13" s="23" t="s">
        <v>165</v>
      </c>
      <c r="B13" s="23" t="s">
        <v>134</v>
      </c>
      <c r="C13" s="23" t="s">
        <v>88</v>
      </c>
      <c r="D13" s="23" t="n">
        <v>50</v>
      </c>
    </row>
    <row r="14" customFormat="false" ht="15" hidden="false" customHeight="false" outlineLevel="0" collapsed="false">
      <c r="A14" s="23" t="s">
        <v>165</v>
      </c>
      <c r="B14" s="23" t="s">
        <v>142</v>
      </c>
      <c r="C14" s="23" t="s">
        <v>87</v>
      </c>
      <c r="D14" s="23" t="n">
        <v>326</v>
      </c>
    </row>
    <row r="15" customFormat="false" ht="15" hidden="false" customHeight="false" outlineLevel="0" collapsed="false">
      <c r="A15" s="23" t="s">
        <v>165</v>
      </c>
      <c r="B15" s="23" t="s">
        <v>142</v>
      </c>
      <c r="C15" s="23" t="s">
        <v>90</v>
      </c>
      <c r="D15" s="23" t="n">
        <v>100</v>
      </c>
    </row>
    <row r="16" customFormat="false" ht="15" hidden="false" customHeight="false" outlineLevel="0" collapsed="false">
      <c r="A16" s="23" t="s">
        <v>165</v>
      </c>
      <c r="B16" s="23" t="s">
        <v>142</v>
      </c>
      <c r="C16" s="23" t="s">
        <v>92</v>
      </c>
      <c r="D16" s="23" t="n">
        <v>70</v>
      </c>
    </row>
    <row r="17" customFormat="false" ht="15" hidden="false" customHeight="false" outlineLevel="0" collapsed="false">
      <c r="A17" s="23" t="s">
        <v>165</v>
      </c>
      <c r="B17" s="23" t="s">
        <v>142</v>
      </c>
      <c r="C17" s="23" t="s">
        <v>88</v>
      </c>
      <c r="D17" s="23" t="n">
        <v>50</v>
      </c>
    </row>
    <row r="18" customFormat="false" ht="15" hidden="false" customHeight="false" outlineLevel="0" collapsed="false">
      <c r="A18" s="23" t="s">
        <v>171</v>
      </c>
      <c r="B18" s="23" t="s">
        <v>134</v>
      </c>
      <c r="C18" s="23" t="s">
        <v>87</v>
      </c>
      <c r="D18" s="23" t="n">
        <v>229</v>
      </c>
    </row>
    <row r="19" customFormat="false" ht="15" hidden="false" customHeight="false" outlineLevel="0" collapsed="false">
      <c r="A19" s="23" t="s">
        <v>171</v>
      </c>
      <c r="B19" s="23" t="s">
        <v>134</v>
      </c>
      <c r="C19" s="23" t="s">
        <v>92</v>
      </c>
      <c r="D19" s="23" t="n">
        <v>175</v>
      </c>
    </row>
    <row r="20" customFormat="false" ht="15" hidden="false" customHeight="false" outlineLevel="0" collapsed="false">
      <c r="A20" s="23" t="s">
        <v>171</v>
      </c>
      <c r="B20" s="23" t="s">
        <v>134</v>
      </c>
      <c r="C20" s="23" t="s">
        <v>90</v>
      </c>
      <c r="D20" s="23" t="n">
        <v>92</v>
      </c>
    </row>
    <row r="21" customFormat="false" ht="15" hidden="false" customHeight="false" outlineLevel="0" collapsed="false">
      <c r="A21" s="23" t="s">
        <v>171</v>
      </c>
      <c r="B21" s="23" t="s">
        <v>134</v>
      </c>
      <c r="C21" s="23" t="s">
        <v>88</v>
      </c>
      <c r="D21" s="23" t="n">
        <v>50</v>
      </c>
    </row>
    <row r="22" customFormat="false" ht="15" hidden="false" customHeight="false" outlineLevel="0" collapsed="false">
      <c r="A22" s="23" t="s">
        <v>171</v>
      </c>
      <c r="B22" s="23" t="s">
        <v>142</v>
      </c>
      <c r="C22" s="23" t="s">
        <v>87</v>
      </c>
      <c r="D22" s="23" t="n">
        <v>229</v>
      </c>
    </row>
    <row r="23" customFormat="false" ht="15" hidden="false" customHeight="false" outlineLevel="0" collapsed="false">
      <c r="A23" s="23" t="s">
        <v>171</v>
      </c>
      <c r="B23" s="23" t="s">
        <v>142</v>
      </c>
      <c r="C23" s="23" t="s">
        <v>92</v>
      </c>
      <c r="D23" s="23" t="n">
        <v>175</v>
      </c>
    </row>
    <row r="24" customFormat="false" ht="15" hidden="false" customHeight="false" outlineLevel="0" collapsed="false">
      <c r="A24" s="23" t="s">
        <v>171</v>
      </c>
      <c r="B24" s="23" t="s">
        <v>142</v>
      </c>
      <c r="C24" s="23" t="s">
        <v>90</v>
      </c>
      <c r="D24" s="23" t="n">
        <v>92</v>
      </c>
    </row>
    <row r="25" customFormat="false" ht="15" hidden="false" customHeight="false" outlineLevel="0" collapsed="false">
      <c r="A25" s="23" t="s">
        <v>171</v>
      </c>
      <c r="B25" s="23" t="s">
        <v>142</v>
      </c>
      <c r="C25" s="23" t="s">
        <v>88</v>
      </c>
      <c r="D25" s="23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90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7" t="s">
        <v>250</v>
      </c>
    </row>
    <row r="4" customFormat="false" ht="26.85" hidden="false" customHeight="false" outlineLevel="0" collapsed="false">
      <c r="A4" s="13" t="s">
        <v>151</v>
      </c>
      <c r="B4" s="13" t="s">
        <v>152</v>
      </c>
      <c r="C4" s="13" t="s">
        <v>251</v>
      </c>
      <c r="D4" s="13" t="s">
        <v>252</v>
      </c>
      <c r="E4" s="13" t="s">
        <v>253</v>
      </c>
      <c r="F4" s="13" t="s">
        <v>254</v>
      </c>
    </row>
    <row r="5" customFormat="false" ht="15" hidden="false" customHeight="false" outlineLevel="0" collapsed="false">
      <c r="A5" s="23" t="s">
        <v>84</v>
      </c>
      <c r="B5" s="23" t="s">
        <v>83</v>
      </c>
      <c r="C5" s="28" t="n">
        <v>9.5</v>
      </c>
      <c r="D5" s="28" t="n">
        <v>6</v>
      </c>
      <c r="E5" s="28" t="n">
        <v>0.5</v>
      </c>
      <c r="F5" s="7" t="s">
        <v>255</v>
      </c>
    </row>
    <row r="6" customFormat="false" ht="15" hidden="false" customHeight="false" outlineLevel="0" collapsed="false">
      <c r="A6" s="23" t="s">
        <v>87</v>
      </c>
      <c r="B6" s="23" t="s">
        <v>86</v>
      </c>
      <c r="C6" s="28" t="n">
        <v>9</v>
      </c>
      <c r="D6" s="28" t="n">
        <v>6.5</v>
      </c>
      <c r="E6" s="28" t="n">
        <v>1</v>
      </c>
      <c r="F6" s="7" t="s">
        <v>256</v>
      </c>
    </row>
    <row r="7" customFormat="false" ht="15" hidden="false" customHeight="false" outlineLevel="0" collapsed="false">
      <c r="A7" s="23" t="s">
        <v>88</v>
      </c>
      <c r="B7" s="23" t="s">
        <v>88</v>
      </c>
      <c r="C7" s="28" t="n">
        <v>9</v>
      </c>
      <c r="D7" s="28" t="n">
        <v>6</v>
      </c>
      <c r="E7" s="28" t="n">
        <v>1.5</v>
      </c>
      <c r="F7" s="7" t="s">
        <v>257</v>
      </c>
    </row>
    <row r="8" customFormat="false" ht="15" hidden="false" customHeight="false" outlineLevel="0" collapsed="false">
      <c r="A8" s="23" t="s">
        <v>90</v>
      </c>
      <c r="B8" s="23" t="s">
        <v>89</v>
      </c>
      <c r="C8" s="28" t="n">
        <v>8</v>
      </c>
      <c r="D8" s="28" t="n">
        <v>5.5</v>
      </c>
      <c r="E8" s="28" t="n">
        <v>2</v>
      </c>
      <c r="F8" s="7" t="s">
        <v>258</v>
      </c>
    </row>
    <row r="9" customFormat="false" ht="15" hidden="false" customHeight="false" outlineLevel="0" collapsed="false">
      <c r="A9" s="23" t="s">
        <v>92</v>
      </c>
      <c r="B9" s="23" t="s">
        <v>91</v>
      </c>
      <c r="C9" s="28" t="n">
        <v>7.5</v>
      </c>
      <c r="D9" s="28" t="n">
        <v>5.5</v>
      </c>
      <c r="E9" s="28" t="n">
        <v>2.5</v>
      </c>
      <c r="F9" s="7" t="s">
        <v>259</v>
      </c>
    </row>
    <row r="10" customFormat="false" ht="15" hidden="false" customHeight="false" outlineLevel="0" collapsed="false">
      <c r="A10" s="23" t="s">
        <v>192</v>
      </c>
      <c r="B10" s="23" t="s">
        <v>193</v>
      </c>
      <c r="C10" s="28" t="n">
        <v>5.5</v>
      </c>
      <c r="D10" s="28" t="n">
        <v>6.5</v>
      </c>
      <c r="E10" s="28" t="n">
        <v>6.5</v>
      </c>
      <c r="F10" s="7" t="s">
        <v>260</v>
      </c>
    </row>
    <row r="11" customFormat="false" ht="15" hidden="false" customHeight="false" outlineLevel="0" collapsed="false">
      <c r="A11" s="23" t="s">
        <v>194</v>
      </c>
      <c r="B11" s="23" t="s">
        <v>194</v>
      </c>
      <c r="C11" s="28" t="n">
        <v>5.5</v>
      </c>
      <c r="D11" s="28" t="n">
        <v>6</v>
      </c>
      <c r="E11" s="28" t="n">
        <v>5.5</v>
      </c>
      <c r="F11" s="7" t="s">
        <v>261</v>
      </c>
    </row>
    <row r="12" customFormat="false" ht="15" hidden="false" customHeight="false" outlineLevel="0" collapsed="false">
      <c r="A12" s="23" t="s">
        <v>195</v>
      </c>
      <c r="B12" s="23" t="s">
        <v>196</v>
      </c>
      <c r="C12" s="28" t="n">
        <v>5</v>
      </c>
      <c r="D12" s="28" t="n">
        <v>6.5</v>
      </c>
      <c r="E12" s="28" t="n">
        <v>7</v>
      </c>
      <c r="F12" s="7" t="s">
        <v>262</v>
      </c>
    </row>
    <row r="13" customFormat="false" ht="15" hidden="false" customHeight="false" outlineLevel="0" collapsed="false">
      <c r="A13" s="23" t="s">
        <v>96</v>
      </c>
      <c r="B13" s="23" t="s">
        <v>96</v>
      </c>
      <c r="C13" s="28" t="n">
        <v>4.5</v>
      </c>
      <c r="D13" s="28" t="n">
        <v>7</v>
      </c>
      <c r="E13" s="28" t="n">
        <v>7.5</v>
      </c>
      <c r="F13" s="7" t="s">
        <v>263</v>
      </c>
    </row>
    <row r="14" customFormat="false" ht="15" hidden="false" customHeight="false" outlineLevel="0" collapsed="false">
      <c r="A14" s="23" t="s">
        <v>174</v>
      </c>
      <c r="B14" s="23" t="s">
        <v>175</v>
      </c>
      <c r="C14" s="28" t="n">
        <v>5</v>
      </c>
      <c r="D14" s="28" t="n">
        <v>7</v>
      </c>
      <c r="E14" s="28" t="n">
        <v>7.5</v>
      </c>
      <c r="F14" s="7" t="s">
        <v>264</v>
      </c>
    </row>
    <row r="15" customFormat="false" ht="15" hidden="false" customHeight="false" outlineLevel="0" collapsed="false">
      <c r="A15" s="23" t="s">
        <v>99</v>
      </c>
      <c r="B15" s="23" t="s">
        <v>98</v>
      </c>
      <c r="C15" s="28" t="n">
        <v>6</v>
      </c>
      <c r="D15" s="28" t="n">
        <v>6.5</v>
      </c>
      <c r="E15" s="28" t="n">
        <v>5</v>
      </c>
      <c r="F15" s="7" t="s">
        <v>265</v>
      </c>
    </row>
    <row r="16" customFormat="false" ht="15" hidden="false" customHeight="false" outlineLevel="0" collapsed="false">
      <c r="A16" s="23" t="s">
        <v>100</v>
      </c>
      <c r="B16" s="23" t="s">
        <v>100</v>
      </c>
      <c r="C16" s="28" t="n">
        <v>7</v>
      </c>
      <c r="D16" s="28" t="n">
        <v>6.5</v>
      </c>
      <c r="E16" s="28" t="n">
        <v>4.5</v>
      </c>
      <c r="F16" s="7" t="s">
        <v>266</v>
      </c>
    </row>
    <row r="17" customFormat="false" ht="15" hidden="false" customHeight="false" outlineLevel="0" collapsed="false">
      <c r="A17" s="23" t="s">
        <v>102</v>
      </c>
      <c r="B17" s="23" t="s">
        <v>101</v>
      </c>
      <c r="C17" s="28" t="n">
        <v>5.5</v>
      </c>
      <c r="D17" s="28" t="n">
        <v>7</v>
      </c>
      <c r="E17" s="28" t="n">
        <v>8</v>
      </c>
      <c r="F17" s="7" t="s">
        <v>267</v>
      </c>
    </row>
    <row r="18" customFormat="false" ht="15" hidden="false" customHeight="false" outlineLevel="0" collapsed="false">
      <c r="A18" s="23" t="s">
        <v>157</v>
      </c>
      <c r="B18" s="23" t="s">
        <v>158</v>
      </c>
      <c r="C18" s="28" t="n">
        <v>6</v>
      </c>
      <c r="D18" s="28" t="n">
        <v>6</v>
      </c>
      <c r="E18" s="28" t="n">
        <v>4</v>
      </c>
      <c r="F18" s="7" t="s">
        <v>268</v>
      </c>
    </row>
    <row r="19" customFormat="false" ht="15" hidden="false" customHeight="false" outlineLevel="0" collapsed="false">
      <c r="A19" s="23" t="s">
        <v>94</v>
      </c>
      <c r="B19" s="23" t="s">
        <v>93</v>
      </c>
      <c r="C19" s="16" t="n">
        <f aca="false">(Composites!$D$7*C10+Composites!$D$8*C11+Composites!$D$9*C12)/(Composites!$D$7+Composites!$D$8+Composites!$D$9)</f>
        <v>5.45</v>
      </c>
      <c r="D19" s="16" t="n">
        <f aca="false">(Composites!$D$7*D10+Composites!$D$8*D11+Composites!$D$9*D12)/(Composites!$D$7+Composites!$D$8+Composites!$D$9)</f>
        <v>6.4</v>
      </c>
      <c r="E19" s="16" t="n">
        <f aca="false">(Composites!$D$7*E10+Composites!$D$8*E11+Composites!$D$9*E12)/(Composites!$D$7+Composites!$D$8+Composites!$D$9)</f>
        <v>6.35</v>
      </c>
      <c r="F19" s="7" t="s">
        <v>269</v>
      </c>
    </row>
    <row r="20" customFormat="false" ht="15" hidden="false" customHeight="false" outlineLevel="0" collapsed="false">
      <c r="A20" s="23" t="s">
        <v>165</v>
      </c>
      <c r="B20" s="23" t="s">
        <v>166</v>
      </c>
      <c r="C20" s="16" t="n">
        <f aca="false">(Composites!$D$14*C6+Composites!$D$15*C8+Composites!$D$16*C9+Composites!$D$17*C7)/(Composites!$D$14+Composites!$D$15+Composites!$D$16+Composites!$D$17)</f>
        <v>8.62454212454212</v>
      </c>
      <c r="D20" s="16" t="n">
        <f aca="false">(Composites!$D$14*D6+Composites!$D$15*D8+Composites!$D$16*D9+Composites!$D$17*D7)/(Composites!$D$14+Composites!$D$15+Composites!$D$16+Composites!$D$17)</f>
        <v>6.14285714285714</v>
      </c>
      <c r="E20" s="16" t="n">
        <f aca="false">(Composites!$D$14*E6+Composites!$D$15*E8+Composites!$D$16*E9+Composites!$D$17*E7)/(Composites!$D$14+Composites!$D$15+Composites!$D$16+Composites!$D$17)</f>
        <v>1.42124542124542</v>
      </c>
      <c r="F20" s="7" t="s">
        <v>269</v>
      </c>
    </row>
    <row r="21" customFormat="false" ht="15" hidden="false" customHeight="false" outlineLevel="0" collapsed="false">
      <c r="A21" s="23" t="s">
        <v>171</v>
      </c>
      <c r="B21" s="23" t="s">
        <v>172</v>
      </c>
      <c r="C21" s="16" t="n">
        <f aca="false">(Composites!$D$22*C6+Composites!$D$23*C9+Composites!$D$24*C8+Composites!$D$25*C7)/(Composites!$D$22+Composites!$D$23+Composites!$D$24+Composites!$D$25)</f>
        <v>8.3507326007326</v>
      </c>
      <c r="D21" s="16" t="n">
        <f aca="false">(Composites!$D$22*D6+Composites!$D$23*D9+Composites!$D$24*D8+Composites!$D$25*D7)/(Composites!$D$22+Composites!$D$23+Composites!$D$24+Composites!$D$25)</f>
        <v>5.96520146520147</v>
      </c>
      <c r="E21" s="16" t="n">
        <f aca="false">(Composites!$D$22*E6+Composites!$D$23*E9+Composites!$D$24*E8+Composites!$D$25*E7)/(Composites!$D$22+Composites!$D$23+Composites!$D$24+Composites!$D$25)</f>
        <v>1.69505494505495</v>
      </c>
      <c r="F21" s="7" t="s">
        <v>269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6" min="4" style="0" width="10"/>
  </cols>
  <sheetData>
    <row r="1" customFormat="false" ht="17.35" hidden="false" customHeight="false" outlineLevel="0" collapsed="false">
      <c r="A1" s="1" t="s">
        <v>270</v>
      </c>
    </row>
    <row r="2" customFormat="false" ht="15" hidden="false" customHeight="false" outlineLevel="0" collapsed="false">
      <c r="A2" s="7" t="s">
        <v>271</v>
      </c>
    </row>
    <row r="4" customFormat="false" ht="15" hidden="false" customHeight="false" outlineLevel="0" collapsed="false">
      <c r="A4" s="13" t="s">
        <v>122</v>
      </c>
      <c r="B4" s="13" t="s">
        <v>203</v>
      </c>
      <c r="C4" s="13" t="s">
        <v>272</v>
      </c>
      <c r="D4" s="13" t="s">
        <v>273</v>
      </c>
      <c r="E4" s="13" t="s">
        <v>274</v>
      </c>
      <c r="F4" s="13" t="s">
        <v>275</v>
      </c>
    </row>
    <row r="5" customFormat="false" ht="15" hidden="false" customHeight="false" outlineLevel="0" collapsed="false">
      <c r="A5" s="23" t="s">
        <v>140</v>
      </c>
      <c r="B5" s="23" t="s">
        <v>276</v>
      </c>
      <c r="C5" s="23" t="s">
        <v>84</v>
      </c>
      <c r="D5" s="28" t="n">
        <v>1</v>
      </c>
      <c r="E5" s="28" t="n">
        <v>0.91</v>
      </c>
      <c r="F5" s="28" t="n">
        <v>1</v>
      </c>
    </row>
    <row r="6" customFormat="false" ht="15" hidden="false" customHeight="false" outlineLevel="0" collapsed="false">
      <c r="A6" s="23" t="s">
        <v>140</v>
      </c>
      <c r="B6" s="23" t="s">
        <v>276</v>
      </c>
      <c r="C6" s="23" t="s">
        <v>87</v>
      </c>
      <c r="D6" s="28" t="n">
        <v>30</v>
      </c>
      <c r="E6" s="28" t="n">
        <v>23.18</v>
      </c>
      <c r="F6" s="28" t="n">
        <v>19</v>
      </c>
    </row>
    <row r="7" customFormat="false" ht="15" hidden="false" customHeight="false" outlineLevel="0" collapsed="false">
      <c r="A7" s="23" t="s">
        <v>140</v>
      </c>
      <c r="B7" s="23" t="s">
        <v>276</v>
      </c>
      <c r="C7" s="23" t="s">
        <v>88</v>
      </c>
      <c r="D7" s="28" t="n">
        <v>1</v>
      </c>
      <c r="E7" s="28" t="n">
        <v>3</v>
      </c>
      <c r="F7" s="28" t="n">
        <v>2</v>
      </c>
    </row>
    <row r="8" customFormat="false" ht="15" hidden="false" customHeight="false" outlineLevel="0" collapsed="false">
      <c r="A8" s="23" t="s">
        <v>140</v>
      </c>
      <c r="B8" s="23" t="s">
        <v>276</v>
      </c>
      <c r="C8" s="23" t="s">
        <v>90</v>
      </c>
      <c r="D8" s="28" t="n">
        <v>5</v>
      </c>
      <c r="E8" s="28" t="n">
        <v>5</v>
      </c>
      <c r="F8" s="28" t="n">
        <v>4</v>
      </c>
    </row>
    <row r="9" customFormat="false" ht="15" hidden="false" customHeight="false" outlineLevel="0" collapsed="false">
      <c r="A9" s="23" t="s">
        <v>140</v>
      </c>
      <c r="B9" s="23" t="s">
        <v>276</v>
      </c>
      <c r="C9" s="23" t="s">
        <v>92</v>
      </c>
      <c r="D9" s="28" t="n">
        <v>1</v>
      </c>
      <c r="E9" s="28" t="n">
        <v>1</v>
      </c>
      <c r="F9" s="28" t="n">
        <v>2</v>
      </c>
    </row>
    <row r="10" customFormat="false" ht="15" hidden="false" customHeight="false" outlineLevel="0" collapsed="false">
      <c r="A10" s="23" t="s">
        <v>140</v>
      </c>
      <c r="B10" s="23" t="s">
        <v>276</v>
      </c>
      <c r="C10" s="23" t="s">
        <v>94</v>
      </c>
      <c r="D10" s="28" t="n">
        <v>13</v>
      </c>
      <c r="E10" s="28" t="n">
        <v>24.64</v>
      </c>
      <c r="F10" s="28" t="n">
        <v>34</v>
      </c>
    </row>
    <row r="11" customFormat="false" ht="15" hidden="false" customHeight="false" outlineLevel="0" collapsed="false">
      <c r="A11" s="23" t="s">
        <v>140</v>
      </c>
      <c r="B11" s="23" t="s">
        <v>276</v>
      </c>
      <c r="C11" s="23" t="s">
        <v>96</v>
      </c>
      <c r="D11" s="28" t="n">
        <v>2</v>
      </c>
      <c r="E11" s="28" t="n">
        <v>4.09</v>
      </c>
      <c r="F11" s="28" t="n">
        <v>6</v>
      </c>
    </row>
    <row r="12" customFormat="false" ht="15" hidden="false" customHeight="false" outlineLevel="0" collapsed="false">
      <c r="A12" s="23" t="s">
        <v>140</v>
      </c>
      <c r="B12" s="23" t="s">
        <v>276</v>
      </c>
      <c r="C12" s="23" t="s">
        <v>277</v>
      </c>
      <c r="D12" s="28" t="n">
        <v>2</v>
      </c>
      <c r="E12" s="28" t="n">
        <v>3</v>
      </c>
      <c r="F12" s="28" t="n">
        <v>4</v>
      </c>
    </row>
    <row r="13" customFormat="false" ht="15" hidden="false" customHeight="false" outlineLevel="0" collapsed="false">
      <c r="A13" s="23" t="s">
        <v>140</v>
      </c>
      <c r="B13" s="23" t="s">
        <v>276</v>
      </c>
      <c r="C13" s="23" t="s">
        <v>99</v>
      </c>
      <c r="D13" s="28" t="n">
        <v>4</v>
      </c>
      <c r="E13" s="28" t="n">
        <v>2.09</v>
      </c>
      <c r="F13" s="28" t="n">
        <v>2</v>
      </c>
    </row>
    <row r="14" customFormat="false" ht="15" hidden="false" customHeight="false" outlineLevel="0" collapsed="false">
      <c r="A14" s="23" t="s">
        <v>140</v>
      </c>
      <c r="B14" s="23" t="s">
        <v>276</v>
      </c>
      <c r="C14" s="23" t="s">
        <v>100</v>
      </c>
      <c r="D14" s="28" t="n">
        <v>31</v>
      </c>
      <c r="E14" s="28" t="n">
        <v>26.09</v>
      </c>
      <c r="F14" s="28" t="n">
        <v>19</v>
      </c>
    </row>
    <row r="15" customFormat="false" ht="15" hidden="false" customHeight="false" outlineLevel="0" collapsed="false">
      <c r="A15" s="23" t="s">
        <v>140</v>
      </c>
      <c r="B15" s="23" t="s">
        <v>276</v>
      </c>
      <c r="C15" s="23" t="s">
        <v>102</v>
      </c>
      <c r="D15" s="28" t="n">
        <v>10</v>
      </c>
      <c r="E15" s="28" t="n">
        <v>7</v>
      </c>
      <c r="F15" s="28" t="n">
        <v>7</v>
      </c>
    </row>
    <row r="16" customFormat="false" ht="15" hidden="false" customHeight="false" outlineLevel="0" collapsed="false">
      <c r="A16" s="23" t="s">
        <v>140</v>
      </c>
      <c r="B16" s="23" t="s">
        <v>276</v>
      </c>
      <c r="C16" s="23" t="s">
        <v>278</v>
      </c>
      <c r="D16" s="28" t="n">
        <v>34</v>
      </c>
      <c r="E16" s="28" t="n">
        <v>26.9</v>
      </c>
      <c r="F16" s="28" t="n">
        <v>23</v>
      </c>
    </row>
    <row r="17" customFormat="false" ht="15" hidden="false" customHeight="false" outlineLevel="0" collapsed="false">
      <c r="A17" s="23" t="s">
        <v>145</v>
      </c>
      <c r="B17" s="23" t="s">
        <v>279</v>
      </c>
      <c r="C17" s="23" t="s">
        <v>87</v>
      </c>
      <c r="D17" s="28" t="n">
        <v>19</v>
      </c>
      <c r="E17" s="28" t="n">
        <v>10.89</v>
      </c>
      <c r="F17" s="28" t="n">
        <v>8</v>
      </c>
    </row>
    <row r="18" customFormat="false" ht="15" hidden="false" customHeight="false" outlineLevel="0" collapsed="false">
      <c r="A18" s="23" t="s">
        <v>145</v>
      </c>
      <c r="B18" s="23" t="s">
        <v>279</v>
      </c>
      <c r="C18" s="23" t="s">
        <v>88</v>
      </c>
      <c r="D18" s="28" t="n">
        <v>2</v>
      </c>
      <c r="E18" s="28" t="n">
        <v>2.56</v>
      </c>
      <c r="F18" s="28" t="n">
        <v>2</v>
      </c>
    </row>
    <row r="19" customFormat="false" ht="15" hidden="false" customHeight="false" outlineLevel="0" collapsed="false">
      <c r="A19" s="23" t="s">
        <v>145</v>
      </c>
      <c r="B19" s="23" t="s">
        <v>279</v>
      </c>
      <c r="C19" s="23" t="s">
        <v>90</v>
      </c>
      <c r="D19" s="28" t="n">
        <v>5</v>
      </c>
      <c r="E19" s="28" t="n">
        <v>5</v>
      </c>
      <c r="F19" s="28" t="n">
        <v>6</v>
      </c>
    </row>
    <row r="20" customFormat="false" ht="15" hidden="false" customHeight="false" outlineLevel="0" collapsed="false">
      <c r="A20" s="23" t="s">
        <v>145</v>
      </c>
      <c r="B20" s="23" t="s">
        <v>279</v>
      </c>
      <c r="C20" s="23" t="s">
        <v>92</v>
      </c>
      <c r="D20" s="28" t="n">
        <v>12</v>
      </c>
      <c r="E20" s="28" t="n">
        <v>13.44</v>
      </c>
      <c r="F20" s="28" t="n">
        <v>16</v>
      </c>
    </row>
    <row r="21" customFormat="false" ht="15" hidden="false" customHeight="false" outlineLevel="0" collapsed="false">
      <c r="A21" s="23" t="s">
        <v>145</v>
      </c>
      <c r="B21" s="23" t="s">
        <v>279</v>
      </c>
      <c r="C21" s="23" t="s">
        <v>94</v>
      </c>
      <c r="D21" s="28" t="n">
        <v>7</v>
      </c>
      <c r="E21" s="28" t="n">
        <v>13.78</v>
      </c>
      <c r="F21" s="28" t="n">
        <v>16</v>
      </c>
    </row>
    <row r="22" customFormat="false" ht="15" hidden="false" customHeight="false" outlineLevel="0" collapsed="false">
      <c r="A22" s="23" t="s">
        <v>145</v>
      </c>
      <c r="B22" s="23" t="s">
        <v>279</v>
      </c>
      <c r="C22" s="23" t="s">
        <v>96</v>
      </c>
      <c r="D22" s="28" t="n">
        <v>4</v>
      </c>
      <c r="E22" s="28" t="n">
        <v>6.11</v>
      </c>
      <c r="F22" s="28" t="n">
        <v>8</v>
      </c>
    </row>
    <row r="23" customFormat="false" ht="15" hidden="false" customHeight="false" outlineLevel="0" collapsed="false">
      <c r="A23" s="23" t="s">
        <v>145</v>
      </c>
      <c r="B23" s="23" t="s">
        <v>279</v>
      </c>
      <c r="C23" s="23" t="s">
        <v>100</v>
      </c>
      <c r="D23" s="28" t="n">
        <v>32</v>
      </c>
      <c r="E23" s="28" t="n">
        <v>32.78</v>
      </c>
      <c r="F23" s="28" t="n">
        <v>30</v>
      </c>
    </row>
    <row r="24" customFormat="false" ht="15" hidden="false" customHeight="false" outlineLevel="0" collapsed="false">
      <c r="A24" s="23" t="s">
        <v>145</v>
      </c>
      <c r="B24" s="23" t="s">
        <v>279</v>
      </c>
      <c r="C24" s="23" t="s">
        <v>102</v>
      </c>
      <c r="D24" s="28" t="n">
        <v>4</v>
      </c>
      <c r="E24" s="28" t="n">
        <v>5.11</v>
      </c>
      <c r="F24" s="28" t="n">
        <v>6</v>
      </c>
    </row>
    <row r="25" customFormat="false" ht="15" hidden="false" customHeight="false" outlineLevel="0" collapsed="false">
      <c r="A25" s="23" t="s">
        <v>145</v>
      </c>
      <c r="B25" s="23" t="s">
        <v>279</v>
      </c>
      <c r="C25" s="23" t="s">
        <v>280</v>
      </c>
      <c r="D25" s="28" t="n">
        <v>15</v>
      </c>
      <c r="E25" s="28" t="n">
        <v>10.33</v>
      </c>
      <c r="F25" s="28" t="n">
        <v>8</v>
      </c>
    </row>
    <row r="26" customFormat="false" ht="15" hidden="false" customHeight="false" outlineLevel="0" collapsed="false">
      <c r="A26" s="23" t="s">
        <v>145</v>
      </c>
      <c r="B26" s="23" t="s">
        <v>279</v>
      </c>
      <c r="C26" s="23" t="s">
        <v>278</v>
      </c>
      <c r="D26" s="28" t="n">
        <v>57</v>
      </c>
      <c r="E26" s="28" t="n">
        <v>48.3</v>
      </c>
      <c r="F26" s="28" t="n">
        <v>46</v>
      </c>
    </row>
    <row r="27" customFormat="false" ht="15" hidden="false" customHeight="false" outlineLevel="0" collapsed="false">
      <c r="A27" s="23" t="s">
        <v>147</v>
      </c>
      <c r="B27" s="23" t="s">
        <v>281</v>
      </c>
      <c r="C27" s="23" t="s">
        <v>171</v>
      </c>
      <c r="D27" s="28" t="n">
        <v>35</v>
      </c>
      <c r="E27" s="28" t="n">
        <v>29.16</v>
      </c>
      <c r="F27" s="28" t="n">
        <v>26</v>
      </c>
    </row>
    <row r="28" customFormat="false" ht="15" hidden="false" customHeight="false" outlineLevel="0" collapsed="false">
      <c r="A28" s="23" t="s">
        <v>147</v>
      </c>
      <c r="B28" s="23" t="s">
        <v>281</v>
      </c>
      <c r="C28" s="23" t="s">
        <v>94</v>
      </c>
      <c r="D28" s="28" t="n">
        <v>12</v>
      </c>
      <c r="E28" s="28" t="n">
        <v>18.84</v>
      </c>
      <c r="F28" s="28" t="n">
        <v>23</v>
      </c>
    </row>
    <row r="29" customFormat="false" ht="15" hidden="false" customHeight="false" outlineLevel="0" collapsed="false">
      <c r="A29" s="23" t="s">
        <v>147</v>
      </c>
      <c r="B29" s="23" t="s">
        <v>281</v>
      </c>
      <c r="C29" s="23" t="s">
        <v>96</v>
      </c>
      <c r="D29" s="28" t="n">
        <v>8</v>
      </c>
      <c r="E29" s="28" t="n">
        <v>8.1</v>
      </c>
      <c r="F29" s="28" t="n">
        <v>12</v>
      </c>
    </row>
    <row r="30" customFormat="false" ht="15" hidden="false" customHeight="false" outlineLevel="0" collapsed="false">
      <c r="A30" s="23" t="s">
        <v>147</v>
      </c>
      <c r="B30" s="23" t="s">
        <v>281</v>
      </c>
      <c r="C30" s="23" t="s">
        <v>282</v>
      </c>
      <c r="D30" s="28" t="n">
        <v>38</v>
      </c>
      <c r="E30" s="28" t="n">
        <v>35.45</v>
      </c>
      <c r="F30" s="28" t="n">
        <v>32</v>
      </c>
    </row>
    <row r="31" customFormat="false" ht="15" hidden="false" customHeight="false" outlineLevel="0" collapsed="false">
      <c r="A31" s="23" t="s">
        <v>147</v>
      </c>
      <c r="B31" s="23" t="s">
        <v>281</v>
      </c>
      <c r="C31" s="23" t="s">
        <v>280</v>
      </c>
      <c r="D31" s="28" t="n">
        <v>7</v>
      </c>
      <c r="E31" s="28" t="n">
        <v>8.45</v>
      </c>
      <c r="F31" s="28" t="n">
        <v>7</v>
      </c>
    </row>
    <row r="32" customFormat="false" ht="15" hidden="false" customHeight="false" outlineLevel="0" collapsed="false">
      <c r="A32" s="23" t="s">
        <v>147</v>
      </c>
      <c r="B32" s="23" t="s">
        <v>281</v>
      </c>
      <c r="C32" s="23" t="s">
        <v>283</v>
      </c>
      <c r="D32" s="28" t="n">
        <v>41.3</v>
      </c>
      <c r="E32" s="28" t="n">
        <v>33.2</v>
      </c>
      <c r="F32" s="28" t="n">
        <v>31.1</v>
      </c>
    </row>
    <row r="34" customFormat="false" ht="15" hidden="false" customHeight="false" outlineLevel="0" collapsed="false">
      <c r="A34" s="2" t="s">
        <v>284</v>
      </c>
    </row>
    <row r="35" customFormat="false" ht="15" hidden="false" customHeight="false" outlineLevel="0" collapsed="false">
      <c r="A35" s="8" t="s">
        <v>285</v>
      </c>
      <c r="D35" s="29" t="n">
        <v>0.12</v>
      </c>
    </row>
    <row r="36" customFormat="false" ht="15" hidden="false" customHeight="false" outlineLevel="0" collapsed="false">
      <c r="A36" s="8" t="s">
        <v>286</v>
      </c>
      <c r="D36" s="29" t="n">
        <v>0.47</v>
      </c>
    </row>
    <row r="37" customFormat="false" ht="15" hidden="false" customHeight="false" outlineLevel="0" collapsed="false">
      <c r="A37" s="8" t="s">
        <v>287</v>
      </c>
      <c r="D37" s="29" t="n">
        <v>0.41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4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16"/>
    <col collapsed="false" customWidth="true" hidden="false" outlineLevel="0" max="9" min="8" style="0" width="22"/>
    <col collapsed="false" customWidth="true" hidden="false" outlineLevel="0" max="10" min="10" style="0" width="10"/>
  </cols>
  <sheetData>
    <row r="1" customFormat="false" ht="17.35" hidden="false" customHeight="false" outlineLevel="0" collapsed="false">
      <c r="A1" s="1" t="s">
        <v>288</v>
      </c>
    </row>
    <row r="2" customFormat="false" ht="15" hidden="false" customHeight="false" outlineLevel="0" collapsed="false">
      <c r="A2" s="7" t="s">
        <v>289</v>
      </c>
    </row>
    <row r="4" customFormat="false" ht="39.55" hidden="false" customHeight="false" outlineLevel="0" collapsed="false">
      <c r="A4" s="13" t="s">
        <v>199</v>
      </c>
      <c r="B4" s="13" t="s">
        <v>200</v>
      </c>
      <c r="C4" s="13" t="s">
        <v>290</v>
      </c>
      <c r="D4" s="13" t="s">
        <v>291</v>
      </c>
      <c r="E4" s="13" t="s">
        <v>292</v>
      </c>
      <c r="F4" s="13" t="s">
        <v>293</v>
      </c>
      <c r="G4" s="13" t="s">
        <v>294</v>
      </c>
      <c r="H4" s="13" t="s">
        <v>201</v>
      </c>
      <c r="I4" s="13" t="s">
        <v>202</v>
      </c>
    </row>
    <row r="5" customFormat="false" ht="15" hidden="false" customHeight="false" outlineLevel="0" collapsed="false">
      <c r="A5" s="8" t="s">
        <v>204</v>
      </c>
      <c r="B5" s="8" t="s">
        <v>57</v>
      </c>
      <c r="C5" s="8" t="s">
        <v>295</v>
      </c>
      <c r="D5" s="30" t="n">
        <v>-0.0357472892955795</v>
      </c>
      <c r="E5" s="30" t="n">
        <v>0.0605112517095039</v>
      </c>
      <c r="F5" s="31" t="n">
        <f aca="false">D5/E5</f>
        <v>-0.590754418156665</v>
      </c>
      <c r="G5" s="17" t="n">
        <f aca="false">D5/(1-$D$16)</f>
        <v>-0.171694798503148</v>
      </c>
      <c r="H5" s="8" t="s">
        <v>205</v>
      </c>
      <c r="I5" s="8" t="s">
        <v>206</v>
      </c>
    </row>
    <row r="6" customFormat="false" ht="15" hidden="false" customHeight="false" outlineLevel="0" collapsed="false">
      <c r="A6" s="8" t="s">
        <v>208</v>
      </c>
      <c r="B6" s="8" t="s">
        <v>58</v>
      </c>
      <c r="C6" s="8" t="s">
        <v>295</v>
      </c>
      <c r="D6" s="30" t="n">
        <v>0.105453902875288</v>
      </c>
      <c r="E6" s="30" t="n">
        <v>0.0388199826766373</v>
      </c>
      <c r="F6" s="31" t="n">
        <f aca="false">D6/E6</f>
        <v>2.71648505754621</v>
      </c>
      <c r="G6" s="17" t="n">
        <f aca="false">D6/(1-$D$16)</f>
        <v>0.506496771149082</v>
      </c>
      <c r="H6" s="8" t="s">
        <v>209</v>
      </c>
      <c r="I6" s="8" t="s">
        <v>210</v>
      </c>
    </row>
    <row r="7" customFormat="false" ht="15" hidden="false" customHeight="false" outlineLevel="0" collapsed="false">
      <c r="A7" s="8" t="s">
        <v>212</v>
      </c>
      <c r="B7" s="8" t="s">
        <v>59</v>
      </c>
      <c r="C7" s="8" t="s">
        <v>295</v>
      </c>
      <c r="D7" s="30" t="n">
        <v>-0.0376153512096602</v>
      </c>
      <c r="E7" s="30" t="n">
        <v>0.0627228568323896</v>
      </c>
      <c r="F7" s="31" t="n">
        <f aca="false">D7/E7</f>
        <v>-0.599707237668995</v>
      </c>
      <c r="G7" s="17" t="n">
        <f aca="false">D7/(1-$D$16)</f>
        <v>-0.180667129559566</v>
      </c>
      <c r="H7" s="8" t="s">
        <v>213</v>
      </c>
      <c r="I7" s="8" t="s">
        <v>214</v>
      </c>
    </row>
    <row r="8" customFormat="false" ht="15" hidden="false" customHeight="false" outlineLevel="0" collapsed="false">
      <c r="A8" s="8" t="s">
        <v>216</v>
      </c>
      <c r="B8" s="8" t="s">
        <v>60</v>
      </c>
      <c r="C8" s="8" t="s">
        <v>295</v>
      </c>
      <c r="D8" s="30" t="n">
        <v>0.0436856542245709</v>
      </c>
      <c r="E8" s="30" t="n">
        <v>0.0257909384278674</v>
      </c>
      <c r="F8" s="31" t="n">
        <f aca="false">D8/E8</f>
        <v>1.69383732766266</v>
      </c>
      <c r="G8" s="17" t="n">
        <f aca="false">D8/(1-$D$16)</f>
        <v>0.209822891395948</v>
      </c>
      <c r="H8" s="8" t="s">
        <v>217</v>
      </c>
      <c r="I8" s="8" t="s">
        <v>218</v>
      </c>
    </row>
    <row r="9" customFormat="false" ht="15" hidden="false" customHeight="false" outlineLevel="0" collapsed="false">
      <c r="A9" s="8" t="s">
        <v>220</v>
      </c>
      <c r="B9" s="8" t="s">
        <v>61</v>
      </c>
      <c r="C9" s="8" t="s">
        <v>295</v>
      </c>
      <c r="D9" s="30" t="n">
        <v>0.00511907425836999</v>
      </c>
      <c r="E9" s="30" t="n">
        <v>0.0393951197779586</v>
      </c>
      <c r="F9" s="31" t="n">
        <f aca="false">D9/E9</f>
        <v>0.129941837649497</v>
      </c>
      <c r="G9" s="17" t="n">
        <f aca="false">D9/(1-$D$16)</f>
        <v>0.024586995003903</v>
      </c>
      <c r="H9" s="8" t="s">
        <v>221</v>
      </c>
      <c r="I9" s="8" t="s">
        <v>222</v>
      </c>
    </row>
    <row r="10" customFormat="false" ht="15" hidden="false" customHeight="false" outlineLevel="0" collapsed="false">
      <c r="A10" s="8" t="s">
        <v>224</v>
      </c>
      <c r="B10" s="8" t="s">
        <v>62</v>
      </c>
      <c r="C10" s="8" t="s">
        <v>296</v>
      </c>
      <c r="D10" s="30" t="n">
        <v>0</v>
      </c>
      <c r="H10" s="8" t="s">
        <v>225</v>
      </c>
      <c r="I10" s="8" t="s">
        <v>226</v>
      </c>
    </row>
    <row r="11" customFormat="false" ht="15" hidden="false" customHeight="false" outlineLevel="0" collapsed="false">
      <c r="A11" s="8" t="s">
        <v>228</v>
      </c>
      <c r="B11" s="8" t="s">
        <v>63</v>
      </c>
      <c r="C11" s="8" t="s">
        <v>296</v>
      </c>
      <c r="D11" s="30" t="n">
        <v>0</v>
      </c>
      <c r="H11" s="8" t="s">
        <v>229</v>
      </c>
      <c r="I11" s="8" t="s">
        <v>230</v>
      </c>
    </row>
    <row r="12" customFormat="false" ht="15" hidden="false" customHeight="false" outlineLevel="0" collapsed="false">
      <c r="A12" s="8" t="s">
        <v>232</v>
      </c>
      <c r="B12" s="8" t="s">
        <v>64</v>
      </c>
      <c r="C12" s="8" t="s">
        <v>296</v>
      </c>
      <c r="D12" s="30" t="n">
        <v>0</v>
      </c>
      <c r="H12" s="8" t="s">
        <v>233</v>
      </c>
      <c r="I12" s="8" t="s">
        <v>234</v>
      </c>
    </row>
    <row r="13" customFormat="false" ht="15" hidden="false" customHeight="false" outlineLevel="0" collapsed="false">
      <c r="A13" s="8" t="s">
        <v>236</v>
      </c>
      <c r="B13" s="8" t="s">
        <v>65</v>
      </c>
      <c r="C13" s="8" t="s">
        <v>296</v>
      </c>
      <c r="D13" s="30" t="n">
        <v>0</v>
      </c>
      <c r="H13" s="8" t="s">
        <v>237</v>
      </c>
      <c r="I13" s="8" t="s">
        <v>238</v>
      </c>
    </row>
    <row r="14" customFormat="false" ht="15" hidden="false" customHeight="false" outlineLevel="0" collapsed="false">
      <c r="A14" s="8" t="s">
        <v>240</v>
      </c>
      <c r="B14" s="8" t="s">
        <v>66</v>
      </c>
      <c r="C14" s="8" t="s">
        <v>296</v>
      </c>
      <c r="D14" s="30" t="n">
        <v>0</v>
      </c>
      <c r="H14" s="8" t="s">
        <v>241</v>
      </c>
      <c r="I14" s="8" t="s">
        <v>242</v>
      </c>
    </row>
    <row r="16" customFormat="false" ht="15" hidden="false" customHeight="false" outlineLevel="0" collapsed="false">
      <c r="B16" s="2" t="s">
        <v>297</v>
      </c>
      <c r="D16" s="30" t="n">
        <v>0.791797482467566</v>
      </c>
      <c r="E16" s="30" t="n">
        <v>0.0748212100847628</v>
      </c>
      <c r="F16" s="31" t="n">
        <f aca="false">D16/E16</f>
        <v>10.582527087848</v>
      </c>
    </row>
    <row r="17" customFormat="false" ht="15" hidden="false" customHeight="false" outlineLevel="0" collapsed="false">
      <c r="B17" s="2" t="s">
        <v>298</v>
      </c>
      <c r="D17" s="30" t="n">
        <v>0.0578908549889012</v>
      </c>
      <c r="E17" s="30" t="n">
        <v>0.0279173579328125</v>
      </c>
      <c r="F17" s="31" t="n">
        <f aca="false">D17/E17</f>
        <v>2.07365092098703</v>
      </c>
    </row>
    <row r="18" customFormat="false" ht="15" hidden="false" customHeight="false" outlineLevel="0" collapsed="false">
      <c r="B18" s="2" t="s">
        <v>299</v>
      </c>
      <c r="D18" s="11" t="n">
        <f aca="false">SQRT(SUMSQ('Estimation data'!AG5:AG64)/(COUNT('Estimation data'!AG5:AG64)-COUNTA($A$37:$A$50)))</f>
        <v>0.16885094579348</v>
      </c>
      <c r="G18" s="7" t="s">
        <v>300</v>
      </c>
    </row>
    <row r="20" customFormat="false" ht="26.85" hidden="false" customHeight="false" outlineLevel="0" collapsed="false">
      <c r="A20" s="13" t="s">
        <v>122</v>
      </c>
      <c r="B20" s="13" t="s">
        <v>123</v>
      </c>
      <c r="C20" s="13"/>
      <c r="D20" s="13" t="s">
        <v>301</v>
      </c>
    </row>
    <row r="21" customFormat="false" ht="15" hidden="false" customHeight="false" outlineLevel="0" collapsed="false">
      <c r="A21" s="8" t="s">
        <v>131</v>
      </c>
      <c r="B21" s="8" t="s">
        <v>132</v>
      </c>
      <c r="D21" s="30" t="n">
        <v>-0.334979022235514</v>
      </c>
    </row>
    <row r="22" customFormat="false" ht="15" hidden="false" customHeight="false" outlineLevel="0" collapsed="false">
      <c r="A22" s="8" t="s">
        <v>135</v>
      </c>
      <c r="B22" s="8" t="s">
        <v>136</v>
      </c>
      <c r="D22" s="30" t="n">
        <v>-1.78035959186777</v>
      </c>
    </row>
    <row r="23" customFormat="false" ht="15" hidden="false" customHeight="false" outlineLevel="0" collapsed="false">
      <c r="A23" s="8" t="s">
        <v>137</v>
      </c>
      <c r="B23" s="8" t="s">
        <v>138</v>
      </c>
      <c r="D23" s="30" t="n">
        <v>-1.70477581807684</v>
      </c>
    </row>
    <row r="24" customFormat="false" ht="15" hidden="false" customHeight="false" outlineLevel="0" collapsed="false">
      <c r="A24" s="8" t="s">
        <v>140</v>
      </c>
      <c r="B24" s="8" t="s">
        <v>141</v>
      </c>
      <c r="D24" s="30" t="n">
        <v>-0.628104520174169</v>
      </c>
    </row>
    <row r="25" customFormat="false" ht="15" hidden="false" customHeight="false" outlineLevel="0" collapsed="false">
      <c r="A25" s="8" t="s">
        <v>143</v>
      </c>
      <c r="B25" s="8" t="s">
        <v>144</v>
      </c>
      <c r="D25" s="30" t="n">
        <v>-1.6955918428019</v>
      </c>
    </row>
    <row r="26" customFormat="false" ht="15" hidden="false" customHeight="false" outlineLevel="0" collapsed="false">
      <c r="A26" s="8" t="s">
        <v>145</v>
      </c>
      <c r="B26" s="8" t="s">
        <v>146</v>
      </c>
      <c r="D26" s="30" t="n">
        <v>-1.51875258799231</v>
      </c>
    </row>
    <row r="27" customFormat="false" ht="15" hidden="false" customHeight="false" outlineLevel="0" collapsed="false">
      <c r="A27" s="8" t="s">
        <v>147</v>
      </c>
      <c r="B27" s="8" t="s">
        <v>148</v>
      </c>
      <c r="D27" s="30" t="n">
        <v>-0.959767584664533</v>
      </c>
    </row>
    <row r="28" customFormat="false" ht="15" hidden="false" customHeight="false" outlineLevel="0" collapsed="false">
      <c r="B28" s="2" t="s">
        <v>302</v>
      </c>
      <c r="D28" s="17" t="n">
        <f aca="false">AVERAGE(D21,D24)</f>
        <v>-0.481541771204841</v>
      </c>
    </row>
    <row r="30" customFormat="false" ht="15" hidden="false" customHeight="false" outlineLevel="0" collapsed="false">
      <c r="B30" s="2" t="s">
        <v>303</v>
      </c>
    </row>
    <row r="31" customFormat="false" ht="15" hidden="false" customHeight="false" outlineLevel="0" collapsed="false">
      <c r="B31" s="8" t="s">
        <v>304</v>
      </c>
      <c r="D31" s="23" t="n">
        <v>60</v>
      </c>
    </row>
    <row r="32" customFormat="false" ht="15" hidden="false" customHeight="false" outlineLevel="0" collapsed="false">
      <c r="B32" s="8" t="s">
        <v>305</v>
      </c>
      <c r="D32" s="23" t="n">
        <v>13</v>
      </c>
    </row>
    <row r="33" customFormat="false" ht="15" hidden="false" customHeight="false" outlineLevel="0" collapsed="false">
      <c r="B33" s="8" t="s">
        <v>306</v>
      </c>
      <c r="D33" s="30" t="n">
        <v>0.977867557336726</v>
      </c>
    </row>
    <row r="34" customFormat="false" ht="15" hidden="false" customHeight="false" outlineLevel="0" collapsed="false">
      <c r="B34" s="8" t="s">
        <v>307</v>
      </c>
      <c r="D34" s="28" t="n">
        <v>2.84679373536866</v>
      </c>
    </row>
    <row r="36" customFormat="false" ht="26.85" hidden="false" customHeight="false" outlineLevel="0" collapsed="false">
      <c r="A36" s="13" t="s">
        <v>151</v>
      </c>
      <c r="B36" s="13" t="s">
        <v>152</v>
      </c>
      <c r="C36" s="13" t="s">
        <v>2</v>
      </c>
      <c r="D36" s="13" t="s">
        <v>308</v>
      </c>
      <c r="E36" s="13" t="s">
        <v>309</v>
      </c>
      <c r="F36" s="13" t="s">
        <v>310</v>
      </c>
    </row>
    <row r="37" customFormat="false" ht="15" hidden="false" customHeight="false" outlineLevel="0" collapsed="false">
      <c r="A37" s="8" t="s">
        <v>84</v>
      </c>
      <c r="B37" s="8" t="s">
        <v>83</v>
      </c>
      <c r="C37" s="5" t="n">
        <f aca="false">COUNTIF('Estimation data'!$B$5:$B$64,A37)</f>
        <v>7</v>
      </c>
      <c r="D37" s="32" t="n">
        <f aca="false">AVERAGEIF('Estimation data'!$B$5:$B$64,A37,'Estimation data'!$AE$5:$AE$64)</f>
        <v>-0.0473037570116817</v>
      </c>
      <c r="E37" s="32" t="n">
        <f aca="false">IF((COUNTIFS('Estimation data'!$B$5:$B$64,A37,'Estimation data'!$A$5:$A$64,"P2017")+COUNTIFS('Estimation data'!$B$5:$B$64,A37,'Estimation data'!$A$5:$A$64,"P2022"))=0,"",(SUMIFS('Estimation data'!$AE$5:$AE$64,'Estimation data'!$B$5:$B$64,A37,'Estimation data'!$A$5:$A$64,"P2017")+SUMIFS('Estimation data'!$AE$5:$AE$64,'Estimation data'!$B$5:$B$64,A37,'Estimation data'!$A$5:$A$64,"P2022"))/(COUNTIFS('Estimation data'!$B$5:$B$64,A37,'Estimation data'!$A$5:$A$64,"P2017")+COUNTIFS('Estimation data'!$B$5:$B$64,A37,'Estimation data'!$A$5:$A$64,"P2022")))</f>
        <v>0.00809751155361127</v>
      </c>
      <c r="F37" s="33" t="n">
        <f aca="false">IF(E37="",D37,E37)</f>
        <v>0.00809751155361127</v>
      </c>
    </row>
    <row r="38" customFormat="false" ht="15" hidden="false" customHeight="false" outlineLevel="0" collapsed="false">
      <c r="A38" s="8" t="s">
        <v>87</v>
      </c>
      <c r="B38" s="8" t="s">
        <v>86</v>
      </c>
      <c r="C38" s="5" t="n">
        <f aca="false">COUNTIF('Estimation data'!$B$5:$B$64,A38)</f>
        <v>5</v>
      </c>
      <c r="D38" s="32" t="n">
        <f aca="false">AVERAGEIF('Estimation data'!$B$5:$B$64,A38,'Estimation data'!$AE$5:$AE$64)</f>
        <v>0.17716643432396</v>
      </c>
      <c r="E38" s="32" t="n">
        <f aca="false">IF((COUNTIFS('Estimation data'!$B$5:$B$64,A38,'Estimation data'!$A$5:$A$64,"P2017")+COUNTIFS('Estimation data'!$B$5:$B$64,A38,'Estimation data'!$A$5:$A$64,"P2022"))=0,"",(SUMIFS('Estimation data'!$AE$5:$AE$64,'Estimation data'!$B$5:$B$64,A38,'Estimation data'!$A$5:$A$64,"P2017")+SUMIFS('Estimation data'!$AE$5:$AE$64,'Estimation data'!$B$5:$B$64,A38,'Estimation data'!$A$5:$A$64,"P2022"))/(COUNTIFS('Estimation data'!$B$5:$B$64,A38,'Estimation data'!$A$5:$A$64,"P2017")+COUNTIFS('Estimation data'!$B$5:$B$64,A38,'Estimation data'!$A$5:$A$64,"P2022")))</f>
        <v>0.270184141005409</v>
      </c>
      <c r="F38" s="33" t="n">
        <f aca="false">IF(E38="",D38,E38)</f>
        <v>0.270184141005409</v>
      </c>
    </row>
    <row r="39" customFormat="false" ht="15" hidden="false" customHeight="false" outlineLevel="0" collapsed="false">
      <c r="A39" s="8" t="s">
        <v>88</v>
      </c>
      <c r="B39" s="8" t="s">
        <v>88</v>
      </c>
      <c r="C39" s="5" t="n">
        <f aca="false">COUNTIF('Estimation data'!$B$5:$B$64,A39)</f>
        <v>4</v>
      </c>
      <c r="D39" s="32" t="n">
        <f aca="false">AVERAGEIF('Estimation data'!$B$5:$B$64,A39,'Estimation data'!$AE$5:$AE$64)</f>
        <v>-0.154270354181365</v>
      </c>
      <c r="E39" s="32" t="n">
        <f aca="false">IF((COUNTIFS('Estimation data'!$B$5:$B$64,A39,'Estimation data'!$A$5:$A$64,"P2017")+COUNTIFS('Estimation data'!$B$5:$B$64,A39,'Estimation data'!$A$5:$A$64,"P2022"))=0,"",(SUMIFS('Estimation data'!$AE$5:$AE$64,'Estimation data'!$B$5:$B$64,A39,'Estimation data'!$A$5:$A$64,"P2017")+SUMIFS('Estimation data'!$AE$5:$AE$64,'Estimation data'!$B$5:$B$64,A39,'Estimation data'!$A$5:$A$64,"P2022"))/(COUNTIFS('Estimation data'!$B$5:$B$64,A39,'Estimation data'!$A$5:$A$64,"P2017")+COUNTIFS('Estimation data'!$B$5:$B$64,A39,'Estimation data'!$A$5:$A$64,"P2022")))</f>
        <v>-0.123655139988886</v>
      </c>
      <c r="F39" s="33" t="n">
        <f aca="false">IF(E39="",D39,E39)</f>
        <v>-0.123655139988886</v>
      </c>
    </row>
    <row r="40" customFormat="false" ht="15" hidden="false" customHeight="false" outlineLevel="0" collapsed="false">
      <c r="A40" s="8" t="s">
        <v>90</v>
      </c>
      <c r="B40" s="8" t="s">
        <v>89</v>
      </c>
      <c r="C40" s="5" t="n">
        <f aca="false">COUNTIF('Estimation data'!$B$5:$B$64,A40)</f>
        <v>4</v>
      </c>
      <c r="D40" s="32" t="n">
        <f aca="false">AVERAGEIF('Estimation data'!$B$5:$B$64,A40,'Estimation data'!$AE$5:$AE$64)</f>
        <v>0.0140088123179725</v>
      </c>
      <c r="E40" s="32" t="n">
        <f aca="false">IF((COUNTIFS('Estimation data'!$B$5:$B$64,A40,'Estimation data'!$A$5:$A$64,"P2017")+COUNTIFS('Estimation data'!$B$5:$B$64,A40,'Estimation data'!$A$5:$A$64,"P2022"))=0,"",(SUMIFS('Estimation data'!$AE$5:$AE$64,'Estimation data'!$B$5:$B$64,A40,'Estimation data'!$A$5:$A$64,"P2017")+SUMIFS('Estimation data'!$AE$5:$AE$64,'Estimation data'!$B$5:$B$64,A40,'Estimation data'!$A$5:$A$64,"P2022"))/(COUNTIFS('Estimation data'!$B$5:$B$64,A40,'Estimation data'!$A$5:$A$64,"P2017")+COUNTIFS('Estimation data'!$B$5:$B$64,A40,'Estimation data'!$A$5:$A$64,"P2022")))</f>
        <v>-0.0161863631663506</v>
      </c>
      <c r="F40" s="33" t="n">
        <f aca="false">IF(E40="",D40,E40)</f>
        <v>-0.0161863631663506</v>
      </c>
    </row>
    <row r="41" customFormat="false" ht="15" hidden="false" customHeight="false" outlineLevel="0" collapsed="false">
      <c r="A41" s="8" t="s">
        <v>92</v>
      </c>
      <c r="B41" s="8" t="s">
        <v>91</v>
      </c>
      <c r="C41" s="5" t="n">
        <f aca="false">COUNTIF('Estimation data'!$B$5:$B$64,A41)</f>
        <v>5</v>
      </c>
      <c r="D41" s="32" t="n">
        <f aca="false">AVERAGEIF('Estimation data'!$B$5:$B$64,A41,'Estimation data'!$AE$5:$AE$64)</f>
        <v>-0.136066900969572</v>
      </c>
      <c r="E41" s="32" t="n">
        <f aca="false">IF((COUNTIFS('Estimation data'!$B$5:$B$64,A41,'Estimation data'!$A$5:$A$64,"P2017")+COUNTIFS('Estimation data'!$B$5:$B$64,A41,'Estimation data'!$A$5:$A$64,"P2022"))=0,"",(SUMIFS('Estimation data'!$AE$5:$AE$64,'Estimation data'!$B$5:$B$64,A41,'Estimation data'!$A$5:$A$64,"P2017")+SUMIFS('Estimation data'!$AE$5:$AE$64,'Estimation data'!$B$5:$B$64,A41,'Estimation data'!$A$5:$A$64,"P2022"))/(COUNTIFS('Estimation data'!$B$5:$B$64,A41,'Estimation data'!$A$5:$A$64,"P2017")+COUNTIFS('Estimation data'!$B$5:$B$64,A41,'Estimation data'!$A$5:$A$64,"P2022")))</f>
        <v>-0.301506604606775</v>
      </c>
      <c r="F41" s="33" t="n">
        <f aca="false">IF(E41="",D41,E41)</f>
        <v>-0.301506604606775</v>
      </c>
    </row>
    <row r="42" customFormat="false" ht="15" hidden="false" customHeight="false" outlineLevel="0" collapsed="false">
      <c r="A42" s="8" t="s">
        <v>165</v>
      </c>
      <c r="B42" s="8" t="s">
        <v>166</v>
      </c>
      <c r="C42" s="5" t="n">
        <f aca="false">COUNTIF('Estimation data'!$B$5:$B$64,A42)</f>
        <v>1</v>
      </c>
      <c r="D42" s="32" t="n">
        <f aca="false">AVERAGEIF('Estimation data'!$B$5:$B$64,A42,'Estimation data'!$AE$5:$AE$64)</f>
        <v>0.291761057182461</v>
      </c>
      <c r="E42" s="32" t="str">
        <f aca="false">IF((COUNTIFS('Estimation data'!$B$5:$B$64,A42,'Estimation data'!$A$5:$A$64,"P2017")+COUNTIFS('Estimation data'!$B$5:$B$64,A42,'Estimation data'!$A$5:$A$64,"P2022"))=0,"",(SUMIFS('Estimation data'!$AE$5:$AE$64,'Estimation data'!$B$5:$B$64,A42,'Estimation data'!$A$5:$A$64,"P2017")+SUMIFS('Estimation data'!$AE$5:$AE$64,'Estimation data'!$B$5:$B$64,A42,'Estimation data'!$A$5:$A$64,"P2022"))/(COUNTIFS('Estimation data'!$B$5:$B$64,A42,'Estimation data'!$A$5:$A$64,"P2017")+COUNTIFS('Estimation data'!$B$5:$B$64,A42,'Estimation data'!$A$5:$A$64,"P2022")))</f>
        <v/>
      </c>
      <c r="F42" s="33" t="n">
        <f aca="false">IF(E42="",D42,E42)</f>
        <v>0.291761057182461</v>
      </c>
    </row>
    <row r="43" customFormat="false" ht="15" hidden="false" customHeight="false" outlineLevel="0" collapsed="false">
      <c r="A43" s="8" t="s">
        <v>171</v>
      </c>
      <c r="B43" s="8" t="s">
        <v>172</v>
      </c>
      <c r="C43" s="5" t="n">
        <f aca="false">COUNTIF('Estimation data'!$B$5:$B$64,A43)</f>
        <v>1</v>
      </c>
      <c r="D43" s="32" t="n">
        <f aca="false">AVERAGEIF('Estimation data'!$B$5:$B$64,A43,'Estimation data'!$AE$5:$AE$64)</f>
        <v>0.335781204489671</v>
      </c>
      <c r="E43" s="32" t="str">
        <f aca="false">IF((COUNTIFS('Estimation data'!$B$5:$B$64,A43,'Estimation data'!$A$5:$A$64,"P2017")+COUNTIFS('Estimation data'!$B$5:$B$64,A43,'Estimation data'!$A$5:$A$64,"P2022"))=0,"",(SUMIFS('Estimation data'!$AE$5:$AE$64,'Estimation data'!$B$5:$B$64,A43,'Estimation data'!$A$5:$A$64,"P2017")+SUMIFS('Estimation data'!$AE$5:$AE$64,'Estimation data'!$B$5:$B$64,A43,'Estimation data'!$A$5:$A$64,"P2022"))/(COUNTIFS('Estimation data'!$B$5:$B$64,A43,'Estimation data'!$A$5:$A$64,"P2017")+COUNTIFS('Estimation data'!$B$5:$B$64,A43,'Estimation data'!$A$5:$A$64,"P2022")))</f>
        <v/>
      </c>
      <c r="F43" s="33" t="n">
        <f aca="false">IF(E43="",D43,E43)</f>
        <v>0.335781204489671</v>
      </c>
    </row>
    <row r="44" customFormat="false" ht="15" hidden="false" customHeight="false" outlineLevel="0" collapsed="false">
      <c r="A44" s="8" t="s">
        <v>94</v>
      </c>
      <c r="B44" s="8" t="s">
        <v>93</v>
      </c>
      <c r="C44" s="5" t="n">
        <f aca="false">COUNTIF('Estimation data'!$B$5:$B$64,A44)</f>
        <v>7</v>
      </c>
      <c r="D44" s="32" t="n">
        <f aca="false">AVERAGEIF('Estimation data'!$B$5:$B$64,A44,'Estimation data'!$AE$5:$AE$64)</f>
        <v>-0.0529529317394688</v>
      </c>
      <c r="E44" s="32" t="n">
        <f aca="false">IF((COUNTIFS('Estimation data'!$B$5:$B$64,A44,'Estimation data'!$A$5:$A$64,"P2017")+COUNTIFS('Estimation data'!$B$5:$B$64,A44,'Estimation data'!$A$5:$A$64,"P2022"))=0,"",(SUMIFS('Estimation data'!$AE$5:$AE$64,'Estimation data'!$B$5:$B$64,A44,'Estimation data'!$A$5:$A$64,"P2017")+SUMIFS('Estimation data'!$AE$5:$AE$64,'Estimation data'!$B$5:$B$64,A44,'Estimation data'!$A$5:$A$64,"P2022"))/(COUNTIFS('Estimation data'!$B$5:$B$64,A44,'Estimation data'!$A$5:$A$64,"P2017")+COUNTIFS('Estimation data'!$B$5:$B$64,A44,'Estimation data'!$A$5:$A$64,"P2022")))</f>
        <v>-0.00238775649657058</v>
      </c>
      <c r="F44" s="33" t="n">
        <f aca="false">IF(E44="",D44,E44)</f>
        <v>-0.00238775649657058</v>
      </c>
    </row>
    <row r="45" customFormat="false" ht="15" hidden="false" customHeight="false" outlineLevel="0" collapsed="false">
      <c r="A45" s="8" t="s">
        <v>96</v>
      </c>
      <c r="B45" s="8" t="s">
        <v>96</v>
      </c>
      <c r="C45" s="5" t="n">
        <f aca="false">COUNTIF('Estimation data'!$B$5:$B$64,A45)</f>
        <v>7</v>
      </c>
      <c r="D45" s="32" t="n">
        <f aca="false">AVERAGEIF('Estimation data'!$B$5:$B$64,A45,'Estimation data'!$AE$5:$AE$64)</f>
        <v>0.0939910574782023</v>
      </c>
      <c r="E45" s="32" t="n">
        <f aca="false">IF((COUNTIFS('Estimation data'!$B$5:$B$64,A45,'Estimation data'!$A$5:$A$64,"P2017")+COUNTIFS('Estimation data'!$B$5:$B$64,A45,'Estimation data'!$A$5:$A$64,"P2022"))=0,"",(SUMIFS('Estimation data'!$AE$5:$AE$64,'Estimation data'!$B$5:$B$64,A45,'Estimation data'!$A$5:$A$64,"P2017")+SUMIFS('Estimation data'!$AE$5:$AE$64,'Estimation data'!$B$5:$B$64,A45,'Estimation data'!$A$5:$A$64,"P2022"))/(COUNTIFS('Estimation data'!$B$5:$B$64,A45,'Estimation data'!$A$5:$A$64,"P2017")+COUNTIFS('Estimation data'!$B$5:$B$64,A45,'Estimation data'!$A$5:$A$64,"P2022")))</f>
        <v>0.107231362689931</v>
      </c>
      <c r="F45" s="33" t="n">
        <f aca="false">IF(E45="",D45,E45)</f>
        <v>0.107231362689931</v>
      </c>
    </row>
    <row r="46" customFormat="false" ht="15" hidden="false" customHeight="false" outlineLevel="0" collapsed="false">
      <c r="A46" s="8" t="s">
        <v>174</v>
      </c>
      <c r="B46" s="8" t="s">
        <v>175</v>
      </c>
      <c r="C46" s="5" t="n">
        <f aca="false">COUNTIF('Estimation data'!$B$5:$B$64,A46)</f>
        <v>1</v>
      </c>
      <c r="D46" s="32" t="n">
        <f aca="false">AVERAGEIF('Estimation data'!$B$5:$B$64,A46,'Estimation data'!$AE$5:$AE$64)</f>
        <v>-0.0331655075836679</v>
      </c>
      <c r="E46" s="32" t="str">
        <f aca="false">IF((COUNTIFS('Estimation data'!$B$5:$B$64,A46,'Estimation data'!$A$5:$A$64,"P2017")+COUNTIFS('Estimation data'!$B$5:$B$64,A46,'Estimation data'!$A$5:$A$64,"P2022"))=0,"",(SUMIFS('Estimation data'!$AE$5:$AE$64,'Estimation data'!$B$5:$B$64,A46,'Estimation data'!$A$5:$A$64,"P2017")+SUMIFS('Estimation data'!$AE$5:$AE$64,'Estimation data'!$B$5:$B$64,A46,'Estimation data'!$A$5:$A$64,"P2022"))/(COUNTIFS('Estimation data'!$B$5:$B$64,A46,'Estimation data'!$A$5:$A$64,"P2017")+COUNTIFS('Estimation data'!$B$5:$B$64,A46,'Estimation data'!$A$5:$A$64,"P2022")))</f>
        <v/>
      </c>
      <c r="F46" s="33" t="n">
        <f aca="false">IF(E46="",D46,E46)</f>
        <v>-0.0331655075836679</v>
      </c>
    </row>
    <row r="47" customFormat="false" ht="15" hidden="false" customHeight="false" outlineLevel="0" collapsed="false">
      <c r="A47" s="8" t="s">
        <v>99</v>
      </c>
      <c r="B47" s="8" t="s">
        <v>98</v>
      </c>
      <c r="C47" s="5" t="n">
        <f aca="false">COUNTIF('Estimation data'!$B$5:$B$64,A47)</f>
        <v>4</v>
      </c>
      <c r="D47" s="32" t="n">
        <f aca="false">AVERAGEIF('Estimation data'!$B$5:$B$64,A47,'Estimation data'!$AE$5:$AE$64)</f>
        <v>-0.161983497544118</v>
      </c>
      <c r="E47" s="32" t="n">
        <f aca="false">IF((COUNTIFS('Estimation data'!$B$5:$B$64,A47,'Estimation data'!$A$5:$A$64,"P2017")+COUNTIFS('Estimation data'!$B$5:$B$64,A47,'Estimation data'!$A$5:$A$64,"P2022"))=0,"",(SUMIFS('Estimation data'!$AE$5:$AE$64,'Estimation data'!$B$5:$B$64,A47,'Estimation data'!$A$5:$A$64,"P2017")+SUMIFS('Estimation data'!$AE$5:$AE$64,'Estimation data'!$B$5:$B$64,A47,'Estimation data'!$A$5:$A$64,"P2022"))/(COUNTIFS('Estimation data'!$B$5:$B$64,A47,'Estimation data'!$A$5:$A$64,"P2017")+COUNTIFS('Estimation data'!$B$5:$B$64,A47,'Estimation data'!$A$5:$A$64,"P2022")))</f>
        <v>-0.112260555393381</v>
      </c>
      <c r="F47" s="33" t="n">
        <f aca="false">IF(E47="",D47,E47)</f>
        <v>-0.112260555393381</v>
      </c>
    </row>
    <row r="48" customFormat="false" ht="15" hidden="false" customHeight="false" outlineLevel="0" collapsed="false">
      <c r="A48" s="8" t="s">
        <v>100</v>
      </c>
      <c r="B48" s="8" t="s">
        <v>100</v>
      </c>
      <c r="C48" s="5" t="n">
        <f aca="false">COUNTIF('Estimation data'!$B$5:$B$64,A48)</f>
        <v>7</v>
      </c>
      <c r="D48" s="32" t="n">
        <f aca="false">AVERAGEIF('Estimation data'!$B$5:$B$64,A48,'Estimation data'!$AE$5:$AE$64)</f>
        <v>0.0992840489715974</v>
      </c>
      <c r="E48" s="32" t="n">
        <f aca="false">IF((COUNTIFS('Estimation data'!$B$5:$B$64,A48,'Estimation data'!$A$5:$A$64,"P2017")+COUNTIFS('Estimation data'!$B$5:$B$64,A48,'Estimation data'!$A$5:$A$64,"P2022"))=0,"",(SUMIFS('Estimation data'!$AE$5:$AE$64,'Estimation data'!$B$5:$B$64,A48,'Estimation data'!$A$5:$A$64,"P2017")+SUMIFS('Estimation data'!$AE$5:$AE$64,'Estimation data'!$B$5:$B$64,A48,'Estimation data'!$A$5:$A$64,"P2022"))/(COUNTIFS('Estimation data'!$B$5:$B$64,A48,'Estimation data'!$A$5:$A$64,"P2017")+COUNTIFS('Estimation data'!$B$5:$B$64,A48,'Estimation data'!$A$5:$A$64,"P2022")))</f>
        <v>0.111052367751324</v>
      </c>
      <c r="F48" s="33" t="n">
        <f aca="false">IF(E48="",D48,E48)</f>
        <v>0.111052367751324</v>
      </c>
    </row>
    <row r="49" customFormat="false" ht="15" hidden="false" customHeight="false" outlineLevel="0" collapsed="false">
      <c r="A49" s="8" t="s">
        <v>102</v>
      </c>
      <c r="B49" s="8" t="s">
        <v>101</v>
      </c>
      <c r="C49" s="5" t="n">
        <f aca="false">COUNTIF('Estimation data'!$B$5:$B$64,A49)</f>
        <v>4</v>
      </c>
      <c r="D49" s="32" t="n">
        <f aca="false">AVERAGEIF('Estimation data'!$B$5:$B$64,A49,'Estimation data'!$AE$5:$AE$64)</f>
        <v>-0.070706479951577</v>
      </c>
      <c r="E49" s="32" t="n">
        <f aca="false">IF((COUNTIFS('Estimation data'!$B$5:$B$64,A49,'Estimation data'!$A$5:$A$64,"P2017")+COUNTIFS('Estimation data'!$B$5:$B$64,A49,'Estimation data'!$A$5:$A$64,"P2022"))=0,"",(SUMIFS('Estimation data'!$AE$5:$AE$64,'Estimation data'!$B$5:$B$64,A49,'Estimation data'!$A$5:$A$64,"P2017")+SUMIFS('Estimation data'!$AE$5:$AE$64,'Estimation data'!$B$5:$B$64,A49,'Estimation data'!$A$5:$A$64,"P2022"))/(COUNTIFS('Estimation data'!$B$5:$B$64,A49,'Estimation data'!$A$5:$A$64,"P2017")+COUNTIFS('Estimation data'!$B$5:$B$64,A49,'Estimation data'!$A$5:$A$64,"P2022")))</f>
        <v>0.0607180436921937</v>
      </c>
      <c r="F49" s="33" t="n">
        <f aca="false">IF(E49="",D49,E49)</f>
        <v>0.0607180436921937</v>
      </c>
    </row>
    <row r="50" customFormat="false" ht="15" hidden="false" customHeight="false" outlineLevel="0" collapsed="false">
      <c r="A50" s="8" t="s">
        <v>157</v>
      </c>
      <c r="B50" s="8" t="s">
        <v>158</v>
      </c>
      <c r="C50" s="5" t="n">
        <f aca="false">COUNTIF('Estimation data'!$B$5:$B$64,A50)</f>
        <v>3</v>
      </c>
      <c r="D50" s="32" t="n">
        <f aca="false">AVERAGEIF('Estimation data'!$B$5:$B$64,A50,'Estimation data'!$AE$5:$AE$64)</f>
        <v>0.0136009086430849</v>
      </c>
      <c r="E50" s="32" t="n">
        <f aca="false">IF((COUNTIFS('Estimation data'!$B$5:$B$64,A50,'Estimation data'!$A$5:$A$64,"P2017")+COUNTIFS('Estimation data'!$B$5:$B$64,A50,'Estimation data'!$A$5:$A$64,"P2022"))=0,"",(SUMIFS('Estimation data'!$AE$5:$AE$64,'Estimation data'!$B$5:$B$64,A50,'Estimation data'!$A$5:$A$64,"P2017")+SUMIFS('Estimation data'!$AE$5:$AE$64,'Estimation data'!$B$5:$B$64,A50,'Estimation data'!$A$5:$A$64,"P2022"))/(COUNTIFS('Estimation data'!$B$5:$B$64,A50,'Estimation data'!$A$5:$A$64,"P2017")+COUNTIFS('Estimation data'!$B$5:$B$64,A50,'Estimation data'!$A$5:$A$64,"P2022")))</f>
        <v>-0.0816974545409015</v>
      </c>
      <c r="F50" s="33" t="n">
        <f aca="false">IF(E50="",D50,E50)</f>
        <v>-0.0816974545409015</v>
      </c>
    </row>
    <row r="51" customFormat="false" ht="15" hidden="false" customHeight="false" outlineLevel="0" collapsed="false">
      <c r="A51" s="7" t="s">
        <v>311</v>
      </c>
    </row>
    <row r="53" customFormat="false" ht="26.85" hidden="false" customHeight="false" outlineLevel="0" collapsed="false">
      <c r="A53" s="13" t="s">
        <v>199</v>
      </c>
      <c r="B53" s="13" t="s">
        <v>312</v>
      </c>
      <c r="C53" s="13" t="s">
        <v>313</v>
      </c>
      <c r="D53" s="13" t="s">
        <v>273</v>
      </c>
      <c r="E53" s="13" t="s">
        <v>274</v>
      </c>
      <c r="F53" s="13" t="s">
        <v>275</v>
      </c>
      <c r="G53" s="13" t="s">
        <v>314</v>
      </c>
      <c r="H53" s="13" t="s">
        <v>292</v>
      </c>
      <c r="I53" s="13" t="s">
        <v>315</v>
      </c>
      <c r="J53" s="13" t="s">
        <v>292</v>
      </c>
    </row>
    <row r="54" customFormat="false" ht="15" hidden="false" customHeight="false" outlineLevel="0" collapsed="false">
      <c r="A54" s="8" t="s">
        <v>204</v>
      </c>
      <c r="B54" s="8" t="s">
        <v>57</v>
      </c>
      <c r="C54" s="8" t="s">
        <v>316</v>
      </c>
      <c r="D54" s="30" t="n">
        <v>-0.0357472892955795</v>
      </c>
      <c r="E54" s="30" t="n">
        <v>-0.0357472892955795</v>
      </c>
      <c r="F54" s="30" t="n">
        <v>-0.0357472892955795</v>
      </c>
    </row>
    <row r="55" customFormat="false" ht="15" hidden="false" customHeight="false" outlineLevel="0" collapsed="false">
      <c r="A55" s="8" t="s">
        <v>208</v>
      </c>
      <c r="B55" s="8" t="s">
        <v>58</v>
      </c>
      <c r="C55" s="8" t="s">
        <v>295</v>
      </c>
      <c r="D55" s="30" t="n">
        <v>0.0978907886071555</v>
      </c>
      <c r="E55" s="30" t="n">
        <v>0.115726958049723</v>
      </c>
      <c r="F55" s="30" t="n">
        <v>0.0958910681928286</v>
      </c>
      <c r="G55" s="30" t="n">
        <v>-0.0178361694425673</v>
      </c>
      <c r="H55" s="30" t="n">
        <v>0.0172282846704716</v>
      </c>
      <c r="I55" s="30" t="n">
        <v>-0.0198358898568942</v>
      </c>
      <c r="J55" s="30" t="n">
        <v>0.0212606034676661</v>
      </c>
    </row>
    <row r="56" customFormat="false" ht="15" hidden="false" customHeight="false" outlineLevel="0" collapsed="false">
      <c r="A56" s="8" t="s">
        <v>212</v>
      </c>
      <c r="B56" s="8" t="s">
        <v>59</v>
      </c>
      <c r="C56" s="8" t="s">
        <v>316</v>
      </c>
      <c r="D56" s="30" t="n">
        <v>-0.0376153512096602</v>
      </c>
      <c r="E56" s="30" t="n">
        <v>-0.0376153512096602</v>
      </c>
      <c r="F56" s="30" t="n">
        <v>-0.0376153512096602</v>
      </c>
    </row>
    <row r="57" customFormat="false" ht="15" hidden="false" customHeight="false" outlineLevel="0" collapsed="false">
      <c r="A57" s="8" t="s">
        <v>216</v>
      </c>
      <c r="B57" s="8" t="s">
        <v>60</v>
      </c>
      <c r="C57" s="8" t="s">
        <v>295</v>
      </c>
      <c r="D57" s="30" t="n">
        <v>-0.00424536091685313</v>
      </c>
      <c r="E57" s="30" t="n">
        <v>0.0455013640256399</v>
      </c>
      <c r="F57" s="30" t="n">
        <v>0.0556328205915672</v>
      </c>
      <c r="G57" s="30" t="n">
        <v>-0.0497467249424931</v>
      </c>
      <c r="H57" s="30" t="n">
        <v>0.0231607908886318</v>
      </c>
      <c r="I57" s="30" t="n">
        <v>0.0101314565659273</v>
      </c>
      <c r="J57" s="30" t="n">
        <v>0.0199601651432432</v>
      </c>
    </row>
    <row r="58" customFormat="false" ht="15" hidden="false" customHeight="false" outlineLevel="0" collapsed="false">
      <c r="A58" s="8" t="s">
        <v>220</v>
      </c>
      <c r="B58" s="8" t="s">
        <v>61</v>
      </c>
      <c r="C58" s="8" t="s">
        <v>316</v>
      </c>
      <c r="D58" s="30" t="n">
        <v>0.00511907425836999</v>
      </c>
      <c r="E58" s="30" t="n">
        <v>0.00511907425836999</v>
      </c>
      <c r="F58" s="30" t="n">
        <v>0.00511907425836999</v>
      </c>
    </row>
    <row r="59" customFormat="false" ht="15" hidden="false" customHeight="false" outlineLevel="0" collapsed="false">
      <c r="B59" s="8" t="s">
        <v>317</v>
      </c>
      <c r="D59" s="30" t="n">
        <v>-0.28657746182143</v>
      </c>
      <c r="E59" s="30" t="n">
        <v>0</v>
      </c>
      <c r="F59" s="30" t="n">
        <v>0.234854918363038</v>
      </c>
    </row>
    <row r="60" customFormat="false" ht="15" hidden="false" customHeight="false" outlineLevel="0" collapsed="false">
      <c r="B60" s="8" t="s">
        <v>318</v>
      </c>
      <c r="D60" s="30" t="n">
        <v>-0.382822109936808</v>
      </c>
      <c r="E60" s="30" t="n">
        <v>0</v>
      </c>
      <c r="F60" s="30" t="n">
        <v>0.23935180837571</v>
      </c>
    </row>
    <row r="61" customFormat="false" ht="15" hidden="false" customHeight="false" outlineLevel="0" collapsed="false">
      <c r="B61" s="8" t="s">
        <v>319</v>
      </c>
      <c r="D61" s="30" t="n">
        <v>-0.285588242612954</v>
      </c>
      <c r="E61" s="30" t="n">
        <v>0</v>
      </c>
      <c r="F61" s="30" t="n">
        <v>0.228796335375723</v>
      </c>
    </row>
    <row r="62" customFormat="false" ht="15" hidden="false" customHeight="false" outlineLevel="0" collapsed="false">
      <c r="A62" s="7" t="s">
        <v>320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8"/>
    <col collapsed="false" customWidth="true" hidden="false" outlineLevel="0" max="3" min="3" style="0" width="9"/>
    <col collapsed="false" customWidth="true" hidden="false" outlineLevel="0" max="4" min="4" style="0" width="6"/>
    <col collapsed="false" customWidth="true" hidden="false" outlineLevel="0" max="33" min="5" style="0" width="10"/>
  </cols>
  <sheetData>
    <row r="1" customFormat="false" ht="17.35" hidden="false" customHeight="false" outlineLevel="0" collapsed="false">
      <c r="A1" s="1" t="s">
        <v>321</v>
      </c>
    </row>
    <row r="2" customFormat="false" ht="15" hidden="false" customHeight="false" outlineLevel="0" collapsed="false">
      <c r="A2" s="7" t="s">
        <v>322</v>
      </c>
    </row>
    <row r="4" customFormat="false" ht="52.2" hidden="false" customHeight="false" outlineLevel="0" collapsed="false">
      <c r="A4" s="13" t="s">
        <v>122</v>
      </c>
      <c r="B4" s="13" t="s">
        <v>151</v>
      </c>
      <c r="C4" s="13" t="s">
        <v>125</v>
      </c>
      <c r="D4" s="13" t="s">
        <v>104</v>
      </c>
      <c r="E4" s="13" t="s">
        <v>57</v>
      </c>
      <c r="F4" s="13" t="s">
        <v>58</v>
      </c>
      <c r="G4" s="13" t="s">
        <v>59</v>
      </c>
      <c r="H4" s="13" t="s">
        <v>60</v>
      </c>
      <c r="I4" s="13" t="s">
        <v>61</v>
      </c>
      <c r="J4" s="13" t="s">
        <v>62</v>
      </c>
      <c r="K4" s="13" t="s">
        <v>63</v>
      </c>
      <c r="L4" s="13" t="s">
        <v>64</v>
      </c>
      <c r="M4" s="13" t="s">
        <v>65</v>
      </c>
      <c r="N4" s="13" t="s">
        <v>66</v>
      </c>
      <c r="O4" s="13" t="s">
        <v>323</v>
      </c>
      <c r="P4" s="13" t="s">
        <v>156</v>
      </c>
      <c r="Q4" s="13" t="s">
        <v>324</v>
      </c>
      <c r="R4" s="13" t="s">
        <v>325</v>
      </c>
      <c r="S4" s="13" t="s">
        <v>326</v>
      </c>
      <c r="T4" s="13" t="s">
        <v>327</v>
      </c>
      <c r="U4" s="13" t="s">
        <v>328</v>
      </c>
      <c r="V4" s="13" t="s">
        <v>329</v>
      </c>
      <c r="W4" s="13" t="s">
        <v>330</v>
      </c>
      <c r="X4" s="13" t="s">
        <v>331</v>
      </c>
      <c r="Y4" s="13" t="s">
        <v>332</v>
      </c>
      <c r="Z4" s="13" t="s">
        <v>333</v>
      </c>
      <c r="AA4" s="13" t="s">
        <v>334</v>
      </c>
      <c r="AB4" s="13" t="s">
        <v>335</v>
      </c>
      <c r="AC4" s="13" t="s">
        <v>336</v>
      </c>
      <c r="AD4" s="13" t="s">
        <v>337</v>
      </c>
      <c r="AE4" s="13" t="s">
        <v>338</v>
      </c>
      <c r="AF4" s="13" t="s">
        <v>339</v>
      </c>
      <c r="AG4" s="13" t="s">
        <v>340</v>
      </c>
    </row>
    <row r="5" customFormat="false" ht="15" hidden="false" customHeight="false" outlineLevel="0" collapsed="false">
      <c r="A5" s="23" t="s">
        <v>131</v>
      </c>
      <c r="B5" s="23" t="s">
        <v>94</v>
      </c>
      <c r="C5" s="23" t="s">
        <v>134</v>
      </c>
      <c r="D5" s="23" t="s">
        <v>95</v>
      </c>
      <c r="E5" s="27" t="n">
        <v>5.658</v>
      </c>
      <c r="F5" s="27" t="n">
        <v>5.612</v>
      </c>
      <c r="G5" s="27" t="n">
        <v>6</v>
      </c>
      <c r="H5" s="27" t="n">
        <v>9.68</v>
      </c>
      <c r="I5" s="27" t="n">
        <v>4.9</v>
      </c>
      <c r="J5" s="27" t="n">
        <v>4.164</v>
      </c>
      <c r="K5" s="27" t="n">
        <v>5.714</v>
      </c>
      <c r="L5" s="27" t="n">
        <v>5.5</v>
      </c>
      <c r="M5" s="27" t="n">
        <v>4.636</v>
      </c>
      <c r="N5" s="27" t="n">
        <v>8.27</v>
      </c>
      <c r="O5" s="11" t="n">
        <f aca="false">Votes!I5</f>
        <v>-0.286467861689267</v>
      </c>
      <c r="P5" s="11" t="n">
        <f aca="false">Votes!K5</f>
        <v>0</v>
      </c>
      <c r="Q5" s="23" t="n">
        <v>0</v>
      </c>
      <c r="R5" s="27" t="n">
        <v>0</v>
      </c>
      <c r="S5" s="27" t="n">
        <v>0</v>
      </c>
      <c r="T5" s="27" t="n">
        <v>0</v>
      </c>
      <c r="U5" s="27" t="n">
        <v>0</v>
      </c>
      <c r="V5" s="27" t="n">
        <v>0</v>
      </c>
      <c r="W5" s="8" t="n">
        <f aca="false">IF($A5="P2017",1,0)</f>
        <v>1</v>
      </c>
      <c r="X5" s="8" t="n">
        <f aca="false">IF($A5="L2017",1,0)</f>
        <v>0</v>
      </c>
      <c r="Y5" s="8" t="n">
        <f aca="false">IF($A5="E2019",1,0)</f>
        <v>0</v>
      </c>
      <c r="Z5" s="8" t="n">
        <f aca="false">IF($A5="P2022",1,0)</f>
        <v>0</v>
      </c>
      <c r="AA5" s="8" t="n">
        <f aca="false">IF($A5="L2022",1,0)</f>
        <v>0</v>
      </c>
      <c r="AB5" s="8" t="n">
        <f aca="false">IF($A5="E2024",1,0)</f>
        <v>0</v>
      </c>
      <c r="AC5" s="8" t="n">
        <f aca="false">IF($A5="L2024",1,0)</f>
        <v>0</v>
      </c>
      <c r="AD5" s="11" t="n">
        <f aca="false">Coefficients!$D$5*(E5-5)+Coefficients!$D$6*(F5-5)+Coefficients!$D$7*(G5-5)+Coefficients!$D$8*(H5-5)+Coefficients!$D$9*(I5-5)+Coefficients!$D$10*(J5-5)+Coefficients!$D$11*(K5-5)+Coefficients!$D$12*(L5-5)+Coefficients!$D$13*(M5-5)+Coefficients!$D$14*(N5-5)+Coefficients!$D$16*P5+INDEX(Coefficients!$D$21:$D$27,MATCH(A5,Coefficients!$A$21:$A$27,0))</f>
        <v>-0.127641346896834</v>
      </c>
      <c r="AE5" s="17" t="n">
        <f aca="false">O5-AD5</f>
        <v>-0.158826514792433</v>
      </c>
      <c r="AF5" s="11" t="n">
        <f aca="false">INDEX(Coefficients!$D$37:$D$50,MATCH(B5,Coefficients!$A$37:$A$50,0))</f>
        <v>-0.0529529317394688</v>
      </c>
      <c r="AG5" s="17" t="n">
        <f aca="false">AE5-AF5</f>
        <v>-0.105873583052965</v>
      </c>
    </row>
    <row r="6" customFormat="false" ht="15" hidden="false" customHeight="false" outlineLevel="0" collapsed="false">
      <c r="A6" s="23" t="s">
        <v>131</v>
      </c>
      <c r="B6" s="23" t="s">
        <v>100</v>
      </c>
      <c r="C6" s="23" t="s">
        <v>134</v>
      </c>
      <c r="D6" s="23" t="s">
        <v>97</v>
      </c>
      <c r="E6" s="27" t="n">
        <v>5.43</v>
      </c>
      <c r="F6" s="27" t="n">
        <v>9.88</v>
      </c>
      <c r="G6" s="27" t="n">
        <v>3.5</v>
      </c>
      <c r="H6" s="27" t="n">
        <v>0.62</v>
      </c>
      <c r="I6" s="27" t="n">
        <v>7.5</v>
      </c>
      <c r="J6" s="27" t="n">
        <v>6</v>
      </c>
      <c r="K6" s="27" t="n">
        <v>9.25</v>
      </c>
      <c r="L6" s="27" t="n">
        <v>2.5</v>
      </c>
      <c r="M6" s="27" t="n">
        <v>2.75</v>
      </c>
      <c r="N6" s="27" t="n">
        <v>2.33</v>
      </c>
      <c r="O6" s="11" t="n">
        <f aca="false">Votes!I6</f>
        <v>-0.406337511789093</v>
      </c>
      <c r="P6" s="11" t="n">
        <f aca="false">Votes!K6</f>
        <v>-0.790016157765646</v>
      </c>
      <c r="Q6" s="23" t="n">
        <v>3</v>
      </c>
      <c r="R6" s="27" t="n">
        <v>20</v>
      </c>
      <c r="S6" s="27" t="n">
        <v>24.21</v>
      </c>
      <c r="T6" s="27" t="n">
        <v>17.5</v>
      </c>
      <c r="U6" s="27" t="n">
        <v>8.21</v>
      </c>
      <c r="V6" s="27" t="n">
        <v>16.5</v>
      </c>
      <c r="W6" s="8" t="n">
        <f aca="false">IF($A6="P2017",1,0)</f>
        <v>1</v>
      </c>
      <c r="X6" s="8" t="n">
        <f aca="false">IF($A6="L2017",1,0)</f>
        <v>0</v>
      </c>
      <c r="Y6" s="8" t="n">
        <f aca="false">IF($A6="E2019",1,0)</f>
        <v>0</v>
      </c>
      <c r="Z6" s="8" t="n">
        <f aca="false">IF($A6="P2022",1,0)</f>
        <v>0</v>
      </c>
      <c r="AA6" s="8" t="n">
        <f aca="false">IF($A6="L2022",1,0)</f>
        <v>0</v>
      </c>
      <c r="AB6" s="8" t="n">
        <f aca="false">IF($A6="E2024",1,0)</f>
        <v>0</v>
      </c>
      <c r="AC6" s="8" t="n">
        <f aca="false">IF($A6="L2024",1,0)</f>
        <v>0</v>
      </c>
      <c r="AD6" s="11" t="n">
        <f aca="false">Coefficients!$D$5*(E6-5)+Coefficients!$D$6*(F6-5)+Coefficients!$D$7*(G6-5)+Coefficients!$D$8*(H6-5)+Coefficients!$D$9*(I6-5)+Coefficients!$D$10*(J6-5)+Coefficients!$D$11*(K6-5)+Coefficients!$D$12*(L6-5)+Coefficients!$D$13*(M6-5)+Coefficients!$D$14*(N6-5)+Coefficients!$D$16*P6+INDEX(Coefficients!$D$21:$D$27,MATCH(A6,Coefficients!$A$21:$A$27,0))</f>
        <v>-0.58339056847195</v>
      </c>
      <c r="AE6" s="17" t="n">
        <f aca="false">O6-AD6</f>
        <v>0.177053056682857</v>
      </c>
      <c r="AF6" s="11" t="n">
        <f aca="false">INDEX(Coefficients!$D$37:$D$50,MATCH(B6,Coefficients!$A$37:$A$50,0))</f>
        <v>0.0992840489715974</v>
      </c>
      <c r="AG6" s="17" t="n">
        <f aca="false">AE6-AF6</f>
        <v>0.0777690077112593</v>
      </c>
    </row>
    <row r="7" customFormat="false" ht="15" hidden="false" customHeight="false" outlineLevel="0" collapsed="false">
      <c r="A7" s="23" t="s">
        <v>131</v>
      </c>
      <c r="B7" s="23" t="s">
        <v>96</v>
      </c>
      <c r="C7" s="23" t="s">
        <v>134</v>
      </c>
      <c r="D7" s="23" t="s">
        <v>97</v>
      </c>
      <c r="E7" s="27" t="n">
        <v>8.5</v>
      </c>
      <c r="F7" s="27" t="n">
        <v>7.88</v>
      </c>
      <c r="G7" s="27" t="n">
        <v>7.5</v>
      </c>
      <c r="H7" s="27" t="n">
        <v>7.5</v>
      </c>
      <c r="I7" s="27" t="n">
        <v>7</v>
      </c>
      <c r="J7" s="27" t="n">
        <v>2.62</v>
      </c>
      <c r="K7" s="27" t="n">
        <v>7.62</v>
      </c>
      <c r="L7" s="27" t="n">
        <v>4</v>
      </c>
      <c r="M7" s="27" t="n">
        <v>2.75</v>
      </c>
      <c r="N7" s="27" t="n">
        <v>7</v>
      </c>
      <c r="O7" s="11" t="n">
        <f aca="false">Votes!I7</f>
        <v>-0.468876294939641</v>
      </c>
      <c r="P7" s="11" t="n">
        <f aca="false">Votes!K7</f>
        <v>-0.852554940916194</v>
      </c>
      <c r="Q7" s="23" t="n">
        <v>3</v>
      </c>
      <c r="R7" s="27" t="n">
        <v>16.93</v>
      </c>
      <c r="S7" s="27" t="n">
        <v>26.21</v>
      </c>
      <c r="T7" s="27" t="n">
        <v>13.5</v>
      </c>
      <c r="U7" s="27" t="n">
        <v>1.33</v>
      </c>
      <c r="V7" s="27" t="n">
        <v>17</v>
      </c>
      <c r="W7" s="8" t="n">
        <f aca="false">IF($A7="P2017",1,0)</f>
        <v>1</v>
      </c>
      <c r="X7" s="8" t="n">
        <f aca="false">IF($A7="L2017",1,0)</f>
        <v>0</v>
      </c>
      <c r="Y7" s="8" t="n">
        <f aca="false">IF($A7="E2019",1,0)</f>
        <v>0</v>
      </c>
      <c r="Z7" s="8" t="n">
        <f aca="false">IF($A7="P2022",1,0)</f>
        <v>0</v>
      </c>
      <c r="AA7" s="8" t="n">
        <f aca="false">IF($A7="L2022",1,0)</f>
        <v>0</v>
      </c>
      <c r="AB7" s="8" t="n">
        <f aca="false">IF($A7="E2024",1,0)</f>
        <v>0</v>
      </c>
      <c r="AC7" s="8" t="n">
        <f aca="false">IF($A7="L2024",1,0)</f>
        <v>0</v>
      </c>
      <c r="AD7" s="11" t="n">
        <f aca="false">Coefficients!$D$5*(E7-5)+Coefficients!$D$6*(F7-5)+Coefficients!$D$7*(G7-5)+Coefficients!$D$8*(H7-5)+Coefficients!$D$9*(I7-5)+Coefficients!$D$10*(J7-5)+Coefficients!$D$11*(K7-5)+Coefficients!$D$12*(L7-5)+Coefficients!$D$13*(M7-5)+Coefficients!$D$14*(N7-5)+Coefficients!$D$16*P7+INDEX(Coefficients!$D$21:$D$27,MATCH(A7,Coefficients!$A$21:$A$27,0))</f>
        <v>-0.806024244317922</v>
      </c>
      <c r="AE7" s="17" t="n">
        <f aca="false">O7-AD7</f>
        <v>0.337147949378281</v>
      </c>
      <c r="AF7" s="11" t="n">
        <f aca="false">INDEX(Coefficients!$D$37:$D$50,MATCH(B7,Coefficients!$A$37:$A$50,0))</f>
        <v>0.0939910574782023</v>
      </c>
      <c r="AG7" s="17" t="n">
        <f aca="false">AE7-AF7</f>
        <v>0.243156891900078</v>
      </c>
    </row>
    <row r="8" customFormat="false" ht="15" hidden="false" customHeight="false" outlineLevel="0" collapsed="false">
      <c r="A8" s="23" t="s">
        <v>131</v>
      </c>
      <c r="B8" s="23" t="s">
        <v>87</v>
      </c>
      <c r="C8" s="23" t="s">
        <v>134</v>
      </c>
      <c r="D8" s="23" t="s">
        <v>85</v>
      </c>
      <c r="E8" s="27" t="n">
        <v>0.62</v>
      </c>
      <c r="F8" s="27" t="n">
        <v>4</v>
      </c>
      <c r="G8" s="27" t="n">
        <v>1</v>
      </c>
      <c r="H8" s="27" t="n">
        <v>3.12</v>
      </c>
      <c r="I8" s="27" t="n">
        <v>1</v>
      </c>
      <c r="J8" s="27" t="n">
        <v>9.38</v>
      </c>
      <c r="K8" s="27" t="n">
        <v>1.88</v>
      </c>
      <c r="L8" s="27" t="n">
        <v>7.75</v>
      </c>
      <c r="M8" s="27" t="n">
        <v>6.12</v>
      </c>
      <c r="N8" s="27" t="n">
        <v>5</v>
      </c>
      <c r="O8" s="11" t="n">
        <f aca="false">Votes!I8</f>
        <v>-0.49032244429694</v>
      </c>
      <c r="P8" s="11" t="n">
        <f aca="false">Votes!K8</f>
        <v>-0.345957386607503</v>
      </c>
      <c r="Q8" s="23" t="n">
        <v>2</v>
      </c>
      <c r="R8" s="27" t="n">
        <v>2.12</v>
      </c>
      <c r="S8" s="27" t="n">
        <v>2.75</v>
      </c>
      <c r="T8" s="27" t="n">
        <v>2</v>
      </c>
      <c r="U8" s="27" t="n">
        <v>10.54</v>
      </c>
      <c r="V8" s="27" t="n">
        <v>3.5</v>
      </c>
      <c r="W8" s="8" t="n">
        <f aca="false">IF($A8="P2017",1,0)</f>
        <v>1</v>
      </c>
      <c r="X8" s="8" t="n">
        <f aca="false">IF($A8="L2017",1,0)</f>
        <v>0</v>
      </c>
      <c r="Y8" s="8" t="n">
        <f aca="false">IF($A8="E2019",1,0)</f>
        <v>0</v>
      </c>
      <c r="Z8" s="8" t="n">
        <f aca="false">IF($A8="P2022",1,0)</f>
        <v>0</v>
      </c>
      <c r="AA8" s="8" t="n">
        <f aca="false">IF($A8="L2022",1,0)</f>
        <v>0</v>
      </c>
      <c r="AB8" s="8" t="n">
        <f aca="false">IF($A8="E2024",1,0)</f>
        <v>0</v>
      </c>
      <c r="AC8" s="8" t="n">
        <f aca="false">IF($A8="L2024",1,0)</f>
        <v>0</v>
      </c>
      <c r="AD8" s="11" t="n">
        <f aca="false">Coefficients!$D$5*(E8-5)+Coefficients!$D$6*(F8-5)+Coefficients!$D$7*(G8-5)+Coefficients!$D$8*(H8-5)+Coefficients!$D$9*(I8-5)+Coefficients!$D$10*(J8-5)+Coefficients!$D$11*(K8-5)+Coefficients!$D$12*(L8-5)+Coefficients!$D$13*(M8-5)+Coefficients!$D$14*(N8-5)+Coefficients!$D$16*P8+INDEX(Coefficients!$D$21:$D$27,MATCH(A8,Coefficients!$A$21:$A$27,0))</f>
        <v>-0.509931907890075</v>
      </c>
      <c r="AE8" s="17" t="n">
        <f aca="false">O8-AD8</f>
        <v>0.0196094635931353</v>
      </c>
      <c r="AF8" s="11" t="n">
        <f aca="false">INDEX(Coefficients!$D$37:$D$50,MATCH(B8,Coefficients!$A$37:$A$50,0))</f>
        <v>0.17716643432396</v>
      </c>
      <c r="AG8" s="17" t="n">
        <f aca="false">AE8-AF8</f>
        <v>-0.157556970730825</v>
      </c>
    </row>
    <row r="9" customFormat="false" ht="15" hidden="false" customHeight="false" outlineLevel="0" collapsed="false">
      <c r="A9" s="23" t="s">
        <v>131</v>
      </c>
      <c r="B9" s="23" t="s">
        <v>92</v>
      </c>
      <c r="C9" s="23" t="s">
        <v>134</v>
      </c>
      <c r="D9" s="23" t="s">
        <v>85</v>
      </c>
      <c r="E9" s="27" t="n">
        <v>2.12</v>
      </c>
      <c r="F9" s="27" t="n">
        <v>2.75</v>
      </c>
      <c r="G9" s="27" t="n">
        <v>2</v>
      </c>
      <c r="H9" s="27" t="n">
        <v>8.54</v>
      </c>
      <c r="I9" s="27" t="n">
        <v>3</v>
      </c>
      <c r="J9" s="27" t="n">
        <v>7.75</v>
      </c>
      <c r="K9" s="27" t="n">
        <v>2</v>
      </c>
      <c r="L9" s="27" t="n">
        <v>6.75</v>
      </c>
      <c r="M9" s="27" t="n">
        <v>6</v>
      </c>
      <c r="N9" s="27" t="n">
        <v>7.67</v>
      </c>
      <c r="O9" s="11" t="n">
        <f aca="false">Votes!I9</f>
        <v>-1.61564645040023</v>
      </c>
      <c r="P9" s="11" t="n">
        <f aca="false">Votes!K9</f>
        <v>-1.4712813927108</v>
      </c>
      <c r="Q9" s="23" t="n">
        <v>2</v>
      </c>
      <c r="R9" s="27" t="n">
        <v>0.62</v>
      </c>
      <c r="S9" s="27" t="n">
        <v>4</v>
      </c>
      <c r="T9" s="27" t="n">
        <v>1</v>
      </c>
      <c r="U9" s="27" t="n">
        <v>5.12</v>
      </c>
      <c r="V9" s="27" t="n">
        <v>1.5</v>
      </c>
      <c r="W9" s="8" t="n">
        <f aca="false">IF($A9="P2017",1,0)</f>
        <v>1</v>
      </c>
      <c r="X9" s="8" t="n">
        <f aca="false">IF($A9="L2017",1,0)</f>
        <v>0</v>
      </c>
      <c r="Y9" s="8" t="n">
        <f aca="false">IF($A9="E2019",1,0)</f>
        <v>0</v>
      </c>
      <c r="Z9" s="8" t="n">
        <f aca="false">IF($A9="P2022",1,0)</f>
        <v>0</v>
      </c>
      <c r="AA9" s="8" t="n">
        <f aca="false">IF($A9="L2022",1,0)</f>
        <v>0</v>
      </c>
      <c r="AB9" s="8" t="n">
        <f aca="false">IF($A9="E2024",1,0)</f>
        <v>0</v>
      </c>
      <c r="AC9" s="8" t="n">
        <f aca="false">IF($A9="L2024",1,0)</f>
        <v>0</v>
      </c>
      <c r="AD9" s="11" t="n">
        <f aca="false">Coefficients!$D$5*(E9-5)+Coefficients!$D$6*(F9-5)+Coefficients!$D$7*(G9-5)+Coefficients!$D$8*(H9-5)+Coefficients!$D$9*(I9-5)+Coefficients!$D$10*(J9-5)+Coefficients!$D$11*(K9-5)+Coefficients!$D$12*(L9-5)+Coefficients!$D$13*(M9-5)+Coefficients!$D$14*(N9-5)+Coefficients!$D$16*P9+INDEX(Coefficients!$D$21:$D$27,MATCH(A9,Coefficients!$A$21:$A$27,0))</f>
        <v>-1.3769998922162</v>
      </c>
      <c r="AE9" s="17" t="n">
        <f aca="false">O9-AD9</f>
        <v>-0.23864655818403</v>
      </c>
      <c r="AF9" s="11" t="n">
        <f aca="false">INDEX(Coefficients!$D$37:$D$50,MATCH(B9,Coefficients!$A$37:$A$50,0))</f>
        <v>-0.136066900969572</v>
      </c>
      <c r="AG9" s="17" t="n">
        <f aca="false">AE9-AF9</f>
        <v>-0.102579657214457</v>
      </c>
    </row>
    <row r="10" customFormat="false" ht="15" hidden="false" customHeight="false" outlineLevel="0" collapsed="false">
      <c r="A10" s="23" t="s">
        <v>131</v>
      </c>
      <c r="B10" s="23" t="s">
        <v>99</v>
      </c>
      <c r="C10" s="23" t="s">
        <v>134</v>
      </c>
      <c r="D10" s="23" t="s">
        <v>97</v>
      </c>
      <c r="E10" s="27" t="n">
        <v>6.5</v>
      </c>
      <c r="F10" s="27" t="n">
        <v>9.33</v>
      </c>
      <c r="G10" s="27" t="n">
        <v>5</v>
      </c>
      <c r="H10" s="27" t="n">
        <v>0.71</v>
      </c>
      <c r="I10" s="27" t="n">
        <v>6.5</v>
      </c>
      <c r="J10" s="27" t="n">
        <v>3.6</v>
      </c>
      <c r="K10" s="27" t="n">
        <v>9</v>
      </c>
      <c r="L10" s="27" t="n">
        <v>3</v>
      </c>
      <c r="M10" s="27" t="n">
        <v>3.5</v>
      </c>
      <c r="N10" s="27" t="n">
        <v>5</v>
      </c>
      <c r="O10" s="11" t="n">
        <f aca="false">Votes!I10</f>
        <v>-1.91707781443568</v>
      </c>
      <c r="P10" s="11" t="n">
        <f aca="false">Votes!K10</f>
        <v>-2.30075646041223</v>
      </c>
      <c r="Q10" s="23" t="n">
        <v>3</v>
      </c>
      <c r="R10" s="27" t="n">
        <v>18.93</v>
      </c>
      <c r="S10" s="27" t="n">
        <v>24.76</v>
      </c>
      <c r="T10" s="27" t="n">
        <v>16</v>
      </c>
      <c r="U10" s="27" t="n">
        <v>8.12</v>
      </c>
      <c r="V10" s="27" t="n">
        <v>17.5</v>
      </c>
      <c r="W10" s="8" t="n">
        <f aca="false">IF($A10="P2017",1,0)</f>
        <v>1</v>
      </c>
      <c r="X10" s="8" t="n">
        <f aca="false">IF($A10="L2017",1,0)</f>
        <v>0</v>
      </c>
      <c r="Y10" s="8" t="n">
        <f aca="false">IF($A10="E2019",1,0)</f>
        <v>0</v>
      </c>
      <c r="Z10" s="8" t="n">
        <f aca="false">IF($A10="P2022",1,0)</f>
        <v>0</v>
      </c>
      <c r="AA10" s="8" t="n">
        <f aca="false">IF($A10="L2022",1,0)</f>
        <v>0</v>
      </c>
      <c r="AB10" s="8" t="n">
        <f aca="false">IF($A10="E2024",1,0)</f>
        <v>0</v>
      </c>
      <c r="AC10" s="8" t="n">
        <f aca="false">IF($A10="L2024",1,0)</f>
        <v>0</v>
      </c>
      <c r="AD10" s="11" t="n">
        <f aca="false">Coefficients!$D$5*(E10-5)+Coefficients!$D$6*(F10-5)+Coefficients!$D$7*(G10-5)+Coefficients!$D$8*(H10-5)+Coefficients!$D$9*(I10-5)+Coefficients!$D$10*(J10-5)+Coefficients!$D$11*(K10-5)+Coefficients!$D$12*(L10-5)+Coefficients!$D$13*(M10-5)+Coefficients!$D$14*(N10-5)+Coefficients!$D$16*P10+INDEX(Coefficients!$D$21:$D$27,MATCH(A10,Coefficients!$A$21:$A$27,0))</f>
        <v>-1.93345057509013</v>
      </c>
      <c r="AE10" s="17" t="n">
        <f aca="false">O10-AD10</f>
        <v>0.0163727606544539</v>
      </c>
      <c r="AF10" s="11" t="n">
        <f aca="false">INDEX(Coefficients!$D$37:$D$50,MATCH(B10,Coefficients!$A$37:$A$50,0))</f>
        <v>-0.161983497544118</v>
      </c>
      <c r="AG10" s="17" t="n">
        <f aca="false">AE10-AF10</f>
        <v>0.178356258198572</v>
      </c>
    </row>
    <row r="11" customFormat="false" ht="15" hidden="false" customHeight="false" outlineLevel="0" collapsed="false">
      <c r="A11" s="23" t="s">
        <v>131</v>
      </c>
      <c r="B11" s="23" t="s">
        <v>84</v>
      </c>
      <c r="C11" s="23" t="s">
        <v>134</v>
      </c>
      <c r="D11" s="23" t="s">
        <v>85</v>
      </c>
      <c r="E11" s="27" t="n">
        <v>0</v>
      </c>
      <c r="F11" s="27" t="n">
        <v>0</v>
      </c>
      <c r="G11" s="27" t="n">
        <v>0</v>
      </c>
      <c r="H11" s="27" t="n">
        <v>2</v>
      </c>
      <c r="I11" s="27" t="n">
        <v>0.5</v>
      </c>
      <c r="J11" s="27" t="n">
        <v>10</v>
      </c>
      <c r="K11" s="27" t="n">
        <v>0.5</v>
      </c>
      <c r="L11" s="27" t="n">
        <v>6</v>
      </c>
      <c r="M11" s="27" t="n">
        <v>6</v>
      </c>
      <c r="N11" s="27" t="n">
        <v>3</v>
      </c>
      <c r="O11" s="11" t="n">
        <f aca="false">Votes!I11</f>
        <v>-2.91174634278241</v>
      </c>
      <c r="P11" s="11" t="n">
        <f aca="false">Votes!K11</f>
        <v>-2.76738128509297</v>
      </c>
      <c r="Q11" s="23" t="n">
        <v>2</v>
      </c>
      <c r="R11" s="27" t="n">
        <v>2.74</v>
      </c>
      <c r="S11" s="27" t="n">
        <v>6.75</v>
      </c>
      <c r="T11" s="27" t="n">
        <v>3</v>
      </c>
      <c r="U11" s="27" t="n">
        <v>11.66</v>
      </c>
      <c r="V11" s="27" t="n">
        <v>4</v>
      </c>
      <c r="W11" s="8" t="n">
        <f aca="false">IF($A11="P2017",1,0)</f>
        <v>1</v>
      </c>
      <c r="X11" s="8" t="n">
        <f aca="false">IF($A11="L2017",1,0)</f>
        <v>0</v>
      </c>
      <c r="Y11" s="8" t="n">
        <f aca="false">IF($A11="E2019",1,0)</f>
        <v>0</v>
      </c>
      <c r="Z11" s="8" t="n">
        <f aca="false">IF($A11="P2022",1,0)</f>
        <v>0</v>
      </c>
      <c r="AA11" s="8" t="n">
        <f aca="false">IF($A11="L2022",1,0)</f>
        <v>0</v>
      </c>
      <c r="AB11" s="8" t="n">
        <f aca="false">IF($A11="E2024",1,0)</f>
        <v>0</v>
      </c>
      <c r="AC11" s="8" t="n">
        <f aca="false">IF($A11="L2024",1,0)</f>
        <v>0</v>
      </c>
      <c r="AD11" s="11" t="n">
        <f aca="false">Coefficients!$D$5*(E11-5)+Coefficients!$D$6*(F11-5)+Coefficients!$D$7*(G11-5)+Coefficients!$D$8*(H11-5)+Coefficients!$D$9*(I11-5)+Coefficients!$D$10*(J11-5)+Coefficients!$D$11*(K11-5)+Coefficients!$D$12*(L11-5)+Coefficients!$D$13*(M11-5)+Coefficients!$D$14*(N11-5)+Coefficients!$D$16*P11+INDEX(Coefficients!$D$21:$D$27,MATCH(A11,Coefficients!$A$21:$A$27,0))</f>
        <v>-2.8407336654866</v>
      </c>
      <c r="AE11" s="17" t="n">
        <f aca="false">O11-AD11</f>
        <v>-0.071012677295804</v>
      </c>
      <c r="AF11" s="11" t="n">
        <f aca="false">INDEX(Coefficients!$D$37:$D$50,MATCH(B11,Coefficients!$A$37:$A$50,0))</f>
        <v>-0.0473037570116817</v>
      </c>
      <c r="AG11" s="17" t="n">
        <f aca="false">AE11-AF11</f>
        <v>-0.0237089202841222</v>
      </c>
    </row>
    <row r="12" customFormat="false" ht="15" hidden="false" customHeight="false" outlineLevel="0" collapsed="false">
      <c r="A12" s="23" t="s">
        <v>131</v>
      </c>
      <c r="B12" s="23" t="s">
        <v>157</v>
      </c>
      <c r="C12" s="23" t="s">
        <v>134</v>
      </c>
      <c r="D12" s="23" t="s">
        <v>97</v>
      </c>
      <c r="E12" s="27" t="n">
        <v>5</v>
      </c>
      <c r="F12" s="27" t="n">
        <v>7</v>
      </c>
      <c r="G12" s="27" t="n">
        <v>5</v>
      </c>
      <c r="H12" s="27" t="n">
        <v>0</v>
      </c>
      <c r="I12" s="27" t="n">
        <v>3</v>
      </c>
      <c r="J12" s="27" t="n">
        <v>5</v>
      </c>
      <c r="K12" s="27" t="n">
        <v>7</v>
      </c>
      <c r="L12" s="27" t="n">
        <v>3</v>
      </c>
      <c r="M12" s="27" t="n">
        <v>3</v>
      </c>
      <c r="N12" s="27" t="n">
        <v>2</v>
      </c>
      <c r="O12" s="11" t="n">
        <f aca="false">Votes!I12</f>
        <v>-3.54573463076031</v>
      </c>
      <c r="P12" s="11" t="n">
        <f aca="false">Votes!K12</f>
        <v>-3.92941327673686</v>
      </c>
      <c r="Q12" s="23" t="n">
        <v>3</v>
      </c>
      <c r="R12" s="27" t="n">
        <v>20.43</v>
      </c>
      <c r="S12" s="27" t="n">
        <v>27.09</v>
      </c>
      <c r="T12" s="27" t="n">
        <v>16</v>
      </c>
      <c r="U12" s="27" t="n">
        <v>8.83</v>
      </c>
      <c r="V12" s="27" t="n">
        <v>21</v>
      </c>
      <c r="W12" s="8" t="n">
        <f aca="false">IF($A12="P2017",1,0)</f>
        <v>1</v>
      </c>
      <c r="X12" s="8" t="n">
        <f aca="false">IF($A12="L2017",1,0)</f>
        <v>0</v>
      </c>
      <c r="Y12" s="8" t="n">
        <f aca="false">IF($A12="E2019",1,0)</f>
        <v>0</v>
      </c>
      <c r="Z12" s="8" t="n">
        <f aca="false">IF($A12="P2022",1,0)</f>
        <v>0</v>
      </c>
      <c r="AA12" s="8" t="n">
        <f aca="false">IF($A12="L2022",1,0)</f>
        <v>0</v>
      </c>
      <c r="AB12" s="8" t="n">
        <f aca="false">IF($A12="E2024",1,0)</f>
        <v>0</v>
      </c>
      <c r="AC12" s="8" t="n">
        <f aca="false">IF($A12="L2024",1,0)</f>
        <v>0</v>
      </c>
      <c r="AD12" s="11" t="n">
        <f aca="false">Coefficients!$D$5*(E12-5)+Coefficients!$D$6*(F12-5)+Coefficients!$D$7*(G12-5)+Coefficients!$D$8*(H12-5)+Coefficients!$D$9*(I12-5)+Coefficients!$D$10*(J12-5)+Coefficients!$D$11*(K12-5)+Coefficients!$D$12*(L12-5)+Coefficients!$D$13*(M12-5)+Coefficients!$D$14*(N12-5)+Coefficients!$D$16*P12+INDEX(Coefficients!$D$21:$D$27,MATCH(A12,Coefficients!$A$21:$A$27,0))</f>
        <v>-3.46403717621941</v>
      </c>
      <c r="AE12" s="17" t="n">
        <f aca="false">O12-AD12</f>
        <v>-0.0816974545409015</v>
      </c>
      <c r="AF12" s="11" t="n">
        <f aca="false">INDEX(Coefficients!$D$37:$D$50,MATCH(B12,Coefficients!$A$37:$A$50,0))</f>
        <v>0.0136009086430849</v>
      </c>
      <c r="AG12" s="17" t="n">
        <f aca="false">AE12-AF12</f>
        <v>-0.0952983631839864</v>
      </c>
    </row>
    <row r="13" customFormat="false" ht="15" hidden="false" customHeight="false" outlineLevel="0" collapsed="false">
      <c r="A13" s="23" t="s">
        <v>135</v>
      </c>
      <c r="B13" s="23" t="s">
        <v>94</v>
      </c>
      <c r="C13" s="23" t="s">
        <v>134</v>
      </c>
      <c r="D13" s="23" t="s">
        <v>95</v>
      </c>
      <c r="E13" s="27" t="n">
        <v>5.658</v>
      </c>
      <c r="F13" s="27" t="n">
        <v>5.612</v>
      </c>
      <c r="G13" s="27" t="n">
        <v>6</v>
      </c>
      <c r="H13" s="27" t="n">
        <v>9.68</v>
      </c>
      <c r="I13" s="27" t="n">
        <v>4.9</v>
      </c>
      <c r="J13" s="27" t="n">
        <v>4.164</v>
      </c>
      <c r="K13" s="27" t="n">
        <v>5.714</v>
      </c>
      <c r="L13" s="27" t="n">
        <v>5.5</v>
      </c>
      <c r="M13" s="27" t="n">
        <v>4.636</v>
      </c>
      <c r="N13" s="27" t="n">
        <v>8.27</v>
      </c>
      <c r="O13" s="11" t="n">
        <f aca="false">Votes!I13</f>
        <v>-1.22445542837488</v>
      </c>
      <c r="P13" s="11" t="n">
        <f aca="false">Votes!K13</f>
        <v>0</v>
      </c>
      <c r="Q13" s="23" t="n">
        <v>0</v>
      </c>
      <c r="R13" s="27" t="n">
        <v>0</v>
      </c>
      <c r="S13" s="27" t="n">
        <v>0</v>
      </c>
      <c r="T13" s="27" t="n">
        <v>0</v>
      </c>
      <c r="U13" s="27" t="n">
        <v>0</v>
      </c>
      <c r="V13" s="27" t="n">
        <v>0</v>
      </c>
      <c r="W13" s="8" t="n">
        <f aca="false">IF($A13="P2017",1,0)</f>
        <v>0</v>
      </c>
      <c r="X13" s="8" t="n">
        <f aca="false">IF($A13="L2017",1,0)</f>
        <v>1</v>
      </c>
      <c r="Y13" s="8" t="n">
        <f aca="false">IF($A13="E2019",1,0)</f>
        <v>0</v>
      </c>
      <c r="Z13" s="8" t="n">
        <f aca="false">IF($A13="P2022",1,0)</f>
        <v>0</v>
      </c>
      <c r="AA13" s="8" t="n">
        <f aca="false">IF($A13="L2022",1,0)</f>
        <v>0</v>
      </c>
      <c r="AB13" s="8" t="n">
        <f aca="false">IF($A13="E2024",1,0)</f>
        <v>0</v>
      </c>
      <c r="AC13" s="8" t="n">
        <f aca="false">IF($A13="L2024",1,0)</f>
        <v>0</v>
      </c>
      <c r="AD13" s="11" t="n">
        <f aca="false">Coefficients!$D$5*(E13-5)+Coefficients!$D$6*(F13-5)+Coefficients!$D$7*(G13-5)+Coefficients!$D$8*(H13-5)+Coefficients!$D$9*(I13-5)+Coefficients!$D$10*(J13-5)+Coefficients!$D$11*(K13-5)+Coefficients!$D$12*(L13-5)+Coefficients!$D$13*(M13-5)+Coefficients!$D$14*(N13-5)+Coefficients!$D$16*P13+INDEX(Coefficients!$D$21:$D$27,MATCH(A13,Coefficients!$A$21:$A$27,0))</f>
        <v>-1.57302191652909</v>
      </c>
      <c r="AE13" s="17" t="n">
        <f aca="false">O13-AD13</f>
        <v>0.348566488154208</v>
      </c>
      <c r="AF13" s="11" t="n">
        <f aca="false">INDEX(Coefficients!$D$37:$D$50,MATCH(B13,Coefficients!$A$37:$A$50,0))</f>
        <v>-0.0529529317394688</v>
      </c>
      <c r="AG13" s="17" t="n">
        <f aca="false">AE13-AF13</f>
        <v>0.401519419893677</v>
      </c>
    </row>
    <row r="14" customFormat="false" ht="15" hidden="false" customHeight="false" outlineLevel="0" collapsed="false">
      <c r="A14" s="23" t="s">
        <v>135</v>
      </c>
      <c r="B14" s="23" t="s">
        <v>96</v>
      </c>
      <c r="C14" s="23" t="s">
        <v>134</v>
      </c>
      <c r="D14" s="23" t="s">
        <v>97</v>
      </c>
      <c r="E14" s="27" t="n">
        <v>8.5</v>
      </c>
      <c r="F14" s="27" t="n">
        <v>7.88</v>
      </c>
      <c r="G14" s="27" t="n">
        <v>7.5</v>
      </c>
      <c r="H14" s="27" t="n">
        <v>7.5</v>
      </c>
      <c r="I14" s="27" t="n">
        <v>7</v>
      </c>
      <c r="J14" s="27" t="n">
        <v>2.62</v>
      </c>
      <c r="K14" s="27" t="n">
        <v>7.62</v>
      </c>
      <c r="L14" s="27" t="n">
        <v>4</v>
      </c>
      <c r="M14" s="27" t="n">
        <v>2.75</v>
      </c>
      <c r="N14" s="27" t="n">
        <v>7</v>
      </c>
      <c r="O14" s="11" t="n">
        <f aca="false">Votes!I14</f>
        <v>-1.76612103775076</v>
      </c>
      <c r="P14" s="11" t="n">
        <f aca="false">Votes!K14</f>
        <v>-0.567681862923247</v>
      </c>
      <c r="Q14" s="23" t="n">
        <v>2</v>
      </c>
      <c r="R14" s="27" t="n">
        <v>11.93</v>
      </c>
      <c r="S14" s="27" t="n">
        <v>19.21</v>
      </c>
      <c r="T14" s="27" t="n">
        <v>8.5</v>
      </c>
      <c r="U14" s="27" t="n">
        <v>1.33</v>
      </c>
      <c r="V14" s="27" t="n">
        <v>14</v>
      </c>
      <c r="W14" s="8" t="n">
        <f aca="false">IF($A14="P2017",1,0)</f>
        <v>0</v>
      </c>
      <c r="X14" s="8" t="n">
        <f aca="false">IF($A14="L2017",1,0)</f>
        <v>1</v>
      </c>
      <c r="Y14" s="8" t="n">
        <f aca="false">IF($A14="E2019",1,0)</f>
        <v>0</v>
      </c>
      <c r="Z14" s="8" t="n">
        <f aca="false">IF($A14="P2022",1,0)</f>
        <v>0</v>
      </c>
      <c r="AA14" s="8" t="n">
        <f aca="false">IF($A14="L2022",1,0)</f>
        <v>0</v>
      </c>
      <c r="AB14" s="8" t="n">
        <f aca="false">IF($A14="E2024",1,0)</f>
        <v>0</v>
      </c>
      <c r="AC14" s="8" t="n">
        <f aca="false">IF($A14="L2024",1,0)</f>
        <v>0</v>
      </c>
      <c r="AD14" s="11" t="n">
        <f aca="false">Coefficients!$D$5*(E14-5)+Coefficients!$D$6*(F14-5)+Coefficients!$D$7*(G14-5)+Coefficients!$D$8*(H14-5)+Coefficients!$D$9*(I14-5)+Coefficients!$D$10*(J14-5)+Coefficients!$D$11*(K14-5)+Coefficients!$D$12*(L14-5)+Coefficients!$D$13*(M14-5)+Coefficients!$D$14*(N14-5)+Coefficients!$D$16*P14+INDEX(Coefficients!$D$21:$D$27,MATCH(A14,Coefficients!$A$21:$A$27,0))</f>
        <v>-2.02584302797257</v>
      </c>
      <c r="AE14" s="17" t="n">
        <f aca="false">O14-AD14</f>
        <v>0.259721990221815</v>
      </c>
      <c r="AF14" s="11" t="n">
        <f aca="false">INDEX(Coefficients!$D$37:$D$50,MATCH(B14,Coefficients!$A$37:$A$50,0))</f>
        <v>0.0939910574782023</v>
      </c>
      <c r="AG14" s="17" t="n">
        <f aca="false">AE14-AF14</f>
        <v>0.165730932743613</v>
      </c>
    </row>
    <row r="15" customFormat="false" ht="15" hidden="false" customHeight="false" outlineLevel="0" collapsed="false">
      <c r="A15" s="23" t="s">
        <v>135</v>
      </c>
      <c r="B15" s="23" t="s">
        <v>100</v>
      </c>
      <c r="C15" s="23" t="s">
        <v>134</v>
      </c>
      <c r="D15" s="23" t="s">
        <v>97</v>
      </c>
      <c r="E15" s="27" t="n">
        <v>5.43</v>
      </c>
      <c r="F15" s="27" t="n">
        <v>9.88</v>
      </c>
      <c r="G15" s="27" t="n">
        <v>3.5</v>
      </c>
      <c r="H15" s="27" t="n">
        <v>0.62</v>
      </c>
      <c r="I15" s="27" t="n">
        <v>7.5</v>
      </c>
      <c r="J15" s="27" t="n">
        <v>6</v>
      </c>
      <c r="K15" s="27" t="n">
        <v>9.25</v>
      </c>
      <c r="L15" s="27" t="n">
        <v>2.5</v>
      </c>
      <c r="M15" s="27" t="n">
        <v>2.75</v>
      </c>
      <c r="N15" s="27" t="n">
        <v>2.33</v>
      </c>
      <c r="O15" s="11" t="n">
        <f aca="false">Votes!I15</f>
        <v>-2.12011802262299</v>
      </c>
      <c r="P15" s="11" t="n">
        <f aca="false">Votes!K15</f>
        <v>-0.921678847795478</v>
      </c>
      <c r="Q15" s="23" t="n">
        <v>2</v>
      </c>
      <c r="R15" s="27" t="n">
        <v>15</v>
      </c>
      <c r="S15" s="27" t="n">
        <v>17.21</v>
      </c>
      <c r="T15" s="27" t="n">
        <v>12.5</v>
      </c>
      <c r="U15" s="27" t="n">
        <v>8.21</v>
      </c>
      <c r="V15" s="27" t="n">
        <v>13.5</v>
      </c>
      <c r="W15" s="8" t="n">
        <f aca="false">IF($A15="P2017",1,0)</f>
        <v>0</v>
      </c>
      <c r="X15" s="8" t="n">
        <f aca="false">IF($A15="L2017",1,0)</f>
        <v>1</v>
      </c>
      <c r="Y15" s="8" t="n">
        <f aca="false">IF($A15="E2019",1,0)</f>
        <v>0</v>
      </c>
      <c r="Z15" s="8" t="n">
        <f aca="false">IF($A15="P2022",1,0)</f>
        <v>0</v>
      </c>
      <c r="AA15" s="8" t="n">
        <f aca="false">IF($A15="L2022",1,0)</f>
        <v>0</v>
      </c>
      <c r="AB15" s="8" t="n">
        <f aca="false">IF($A15="E2024",1,0)</f>
        <v>0</v>
      </c>
      <c r="AC15" s="8" t="n">
        <f aca="false">IF($A15="L2024",1,0)</f>
        <v>0</v>
      </c>
      <c r="AD15" s="11" t="n">
        <f aca="false">Coefficients!$D$5*(E15-5)+Coefficients!$D$6*(F15-5)+Coefficients!$D$7*(G15-5)+Coefficients!$D$8*(H15-5)+Coefficients!$D$9*(I15-5)+Coefficients!$D$10*(J15-5)+Coefficients!$D$11*(K15-5)+Coefficients!$D$12*(L15-5)+Coefficients!$D$13*(M15-5)+Coefficients!$D$14*(N15-5)+Coefficients!$D$16*P15+INDEX(Coefficients!$D$21:$D$27,MATCH(A15,Coefficients!$A$21:$A$27,0))</f>
        <v>-2.13302132460473</v>
      </c>
      <c r="AE15" s="17" t="n">
        <f aca="false">O15-AD15</f>
        <v>0.0129033019817428</v>
      </c>
      <c r="AF15" s="11" t="n">
        <f aca="false">INDEX(Coefficients!$D$37:$D$50,MATCH(B15,Coefficients!$A$37:$A$50,0))</f>
        <v>0.0992840489715974</v>
      </c>
      <c r="AG15" s="17" t="n">
        <f aca="false">AE15-AF15</f>
        <v>-0.0863807469898546</v>
      </c>
    </row>
    <row r="16" customFormat="false" ht="15" hidden="false" customHeight="false" outlineLevel="0" collapsed="false">
      <c r="A16" s="23" t="s">
        <v>135</v>
      </c>
      <c r="B16" s="23" t="s">
        <v>87</v>
      </c>
      <c r="C16" s="23" t="s">
        <v>134</v>
      </c>
      <c r="D16" s="23" t="s">
        <v>85</v>
      </c>
      <c r="E16" s="27" t="n">
        <v>0.62</v>
      </c>
      <c r="F16" s="27" t="n">
        <v>4</v>
      </c>
      <c r="G16" s="27" t="n">
        <v>1</v>
      </c>
      <c r="H16" s="27" t="n">
        <v>3.12</v>
      </c>
      <c r="I16" s="27" t="n">
        <v>1</v>
      </c>
      <c r="J16" s="27" t="n">
        <v>9.38</v>
      </c>
      <c r="K16" s="27" t="n">
        <v>1.88</v>
      </c>
      <c r="L16" s="27" t="n">
        <v>7.75</v>
      </c>
      <c r="M16" s="27" t="n">
        <v>6.12</v>
      </c>
      <c r="N16" s="27" t="n">
        <v>5</v>
      </c>
      <c r="O16" s="11" t="n">
        <f aca="false">Votes!I16</f>
        <v>-2.30020415876767</v>
      </c>
      <c r="P16" s="11" t="n">
        <f aca="false">Votes!K16</f>
        <v>-0.867636423710889</v>
      </c>
      <c r="Q16" s="23" t="n">
        <v>4</v>
      </c>
      <c r="R16" s="27" t="n">
        <v>4.25</v>
      </c>
      <c r="S16" s="27" t="n">
        <v>7.62</v>
      </c>
      <c r="T16" s="27" t="n">
        <v>4.5</v>
      </c>
      <c r="U16" s="27" t="n">
        <v>22.83</v>
      </c>
      <c r="V16" s="27" t="n">
        <v>7</v>
      </c>
      <c r="W16" s="8" t="n">
        <f aca="false">IF($A16="P2017",1,0)</f>
        <v>0</v>
      </c>
      <c r="X16" s="8" t="n">
        <f aca="false">IF($A16="L2017",1,0)</f>
        <v>1</v>
      </c>
      <c r="Y16" s="8" t="n">
        <f aca="false">IF($A16="E2019",1,0)</f>
        <v>0</v>
      </c>
      <c r="Z16" s="8" t="n">
        <f aca="false">IF($A16="P2022",1,0)</f>
        <v>0</v>
      </c>
      <c r="AA16" s="8" t="n">
        <f aca="false">IF($A16="L2022",1,0)</f>
        <v>0</v>
      </c>
      <c r="AB16" s="8" t="n">
        <f aca="false">IF($A16="E2024",1,0)</f>
        <v>0</v>
      </c>
      <c r="AC16" s="8" t="n">
        <f aca="false">IF($A16="L2024",1,0)</f>
        <v>0</v>
      </c>
      <c r="AD16" s="11" t="n">
        <f aca="false">Coefficients!$D$5*(E16-5)+Coefficients!$D$6*(F16-5)+Coefficients!$D$7*(G16-5)+Coefficients!$D$8*(H16-5)+Coefficients!$D$9*(I16-5)+Coefficients!$D$10*(J16-5)+Coefficients!$D$11*(K16-5)+Coefficients!$D$12*(L16-5)+Coefficients!$D$13*(M16-5)+Coefficients!$D$14*(N16-5)+Coefficients!$D$16*P16+INDEX(Coefficients!$D$21:$D$27,MATCH(A16,Coefficients!$A$21:$A$27,0))</f>
        <v>-2.36837662575689</v>
      </c>
      <c r="AE16" s="17" t="n">
        <f aca="false">O16-AD16</f>
        <v>0.0681724669892256</v>
      </c>
      <c r="AF16" s="11" t="n">
        <f aca="false">INDEX(Coefficients!$D$37:$D$50,MATCH(B16,Coefficients!$A$37:$A$50,0))</f>
        <v>0.17716643432396</v>
      </c>
      <c r="AG16" s="17" t="n">
        <f aca="false">AE16-AF16</f>
        <v>-0.108993967334734</v>
      </c>
    </row>
    <row r="17" customFormat="false" ht="15" hidden="false" customHeight="false" outlineLevel="0" collapsed="false">
      <c r="A17" s="23" t="s">
        <v>135</v>
      </c>
      <c r="B17" s="23" t="s">
        <v>92</v>
      </c>
      <c r="C17" s="23" t="s">
        <v>134</v>
      </c>
      <c r="D17" s="23" t="s">
        <v>85</v>
      </c>
      <c r="E17" s="27" t="n">
        <v>2.12</v>
      </c>
      <c r="F17" s="27" t="n">
        <v>2.75</v>
      </c>
      <c r="G17" s="27" t="n">
        <v>2</v>
      </c>
      <c r="H17" s="27" t="n">
        <v>8.54</v>
      </c>
      <c r="I17" s="27" t="n">
        <v>3</v>
      </c>
      <c r="J17" s="27" t="n">
        <v>7.75</v>
      </c>
      <c r="K17" s="27" t="n">
        <v>2</v>
      </c>
      <c r="L17" s="27" t="n">
        <v>6.75</v>
      </c>
      <c r="M17" s="27" t="n">
        <v>6</v>
      </c>
      <c r="N17" s="27" t="n">
        <v>7.67</v>
      </c>
      <c r="O17" s="11" t="n">
        <f aca="false">Votes!I17</f>
        <v>-2.6933759744364</v>
      </c>
      <c r="P17" s="11" t="n">
        <f aca="false">Votes!K17</f>
        <v>-1.26080823937963</v>
      </c>
      <c r="Q17" s="23" t="n">
        <v>4</v>
      </c>
      <c r="R17" s="27" t="n">
        <v>2.75</v>
      </c>
      <c r="S17" s="27" t="n">
        <v>8.87</v>
      </c>
      <c r="T17" s="27" t="n">
        <v>3.5</v>
      </c>
      <c r="U17" s="27" t="n">
        <v>17.41</v>
      </c>
      <c r="V17" s="27" t="n">
        <v>5</v>
      </c>
      <c r="W17" s="8" t="n">
        <f aca="false">IF($A17="P2017",1,0)</f>
        <v>0</v>
      </c>
      <c r="X17" s="8" t="n">
        <f aca="false">IF($A17="L2017",1,0)</f>
        <v>1</v>
      </c>
      <c r="Y17" s="8" t="n">
        <f aca="false">IF($A17="E2019",1,0)</f>
        <v>0</v>
      </c>
      <c r="Z17" s="8" t="n">
        <f aca="false">IF($A17="P2022",1,0)</f>
        <v>0</v>
      </c>
      <c r="AA17" s="8" t="n">
        <f aca="false">IF($A17="L2022",1,0)</f>
        <v>0</v>
      </c>
      <c r="AB17" s="8" t="n">
        <f aca="false">IF($A17="E2024",1,0)</f>
        <v>0</v>
      </c>
      <c r="AC17" s="8" t="n">
        <f aca="false">IF($A17="L2024",1,0)</f>
        <v>0</v>
      </c>
      <c r="AD17" s="11" t="n">
        <f aca="false">Coefficients!$D$5*(E17-5)+Coefficients!$D$6*(F17-5)+Coefficients!$D$7*(G17-5)+Coefficients!$D$8*(H17-5)+Coefficients!$D$9*(I17-5)+Coefficients!$D$10*(J17-5)+Coefficients!$D$11*(K17-5)+Coefficients!$D$12*(L17-5)+Coefficients!$D$13*(M17-5)+Coefficients!$D$14*(N17-5)+Coefficients!$D$16*P17+INDEX(Coefficients!$D$21:$D$27,MATCH(A17,Coefficients!$A$21:$A$27,0))</f>
        <v>-2.65572834891383</v>
      </c>
      <c r="AE17" s="17" t="n">
        <f aca="false">O17-AD17</f>
        <v>-0.0376476255225784</v>
      </c>
      <c r="AF17" s="11" t="n">
        <f aca="false">INDEX(Coefficients!$D$37:$D$50,MATCH(B17,Coefficients!$A$37:$A$50,0))</f>
        <v>-0.136066900969572</v>
      </c>
      <c r="AG17" s="17" t="n">
        <f aca="false">AE17-AF17</f>
        <v>0.098419275446994</v>
      </c>
    </row>
    <row r="18" customFormat="false" ht="15" hidden="false" customHeight="false" outlineLevel="0" collapsed="false">
      <c r="A18" s="23" t="s">
        <v>135</v>
      </c>
      <c r="B18" s="23" t="s">
        <v>90</v>
      </c>
      <c r="C18" s="23" t="s">
        <v>134</v>
      </c>
      <c r="D18" s="23" t="s">
        <v>85</v>
      </c>
      <c r="E18" s="27" t="n">
        <v>1.75</v>
      </c>
      <c r="F18" s="27" t="n">
        <v>1.62</v>
      </c>
      <c r="G18" s="27" t="n">
        <v>1.5</v>
      </c>
      <c r="H18" s="27" t="n">
        <v>8.96</v>
      </c>
      <c r="I18" s="27" t="n">
        <v>2</v>
      </c>
      <c r="J18" s="27" t="n">
        <v>7.62</v>
      </c>
      <c r="K18" s="27" t="n">
        <v>1.25</v>
      </c>
      <c r="L18" s="27" t="n">
        <v>9.25</v>
      </c>
      <c r="M18" s="27" t="n">
        <v>8.38</v>
      </c>
      <c r="N18" s="27" t="n">
        <v>7</v>
      </c>
      <c r="O18" s="11" t="n">
        <f aca="false">Votes!I18</f>
        <v>-3.24237295754162</v>
      </c>
      <c r="P18" s="11" t="n">
        <f aca="false">Votes!K18</f>
        <v>-1.80980522248485</v>
      </c>
      <c r="Q18" s="23" t="n">
        <v>4</v>
      </c>
      <c r="R18" s="27" t="n">
        <v>3.12</v>
      </c>
      <c r="S18" s="27" t="n">
        <v>10</v>
      </c>
      <c r="T18" s="27" t="n">
        <v>4</v>
      </c>
      <c r="U18" s="27" t="n">
        <v>16.99</v>
      </c>
      <c r="V18" s="27" t="n">
        <v>6</v>
      </c>
      <c r="W18" s="8" t="n">
        <f aca="false">IF($A18="P2017",1,0)</f>
        <v>0</v>
      </c>
      <c r="X18" s="8" t="n">
        <f aca="false">IF($A18="L2017",1,0)</f>
        <v>1</v>
      </c>
      <c r="Y18" s="8" t="n">
        <f aca="false">IF($A18="E2019",1,0)</f>
        <v>0</v>
      </c>
      <c r="Z18" s="8" t="n">
        <f aca="false">IF($A18="P2022",1,0)</f>
        <v>0</v>
      </c>
      <c r="AA18" s="8" t="n">
        <f aca="false">IF($A18="L2022",1,0)</f>
        <v>0</v>
      </c>
      <c r="AB18" s="8" t="n">
        <f aca="false">IF($A18="E2024",1,0)</f>
        <v>0</v>
      </c>
      <c r="AC18" s="8" t="n">
        <f aca="false">IF($A18="L2024",1,0)</f>
        <v>0</v>
      </c>
      <c r="AD18" s="11" t="n">
        <f aca="false">Coefficients!$D$5*(E18-5)+Coefficients!$D$6*(F18-5)+Coefficients!$D$7*(G18-5)+Coefficients!$D$8*(H18-5)+Coefficients!$D$9*(I18-5)+Coefficients!$D$10*(J18-5)+Coefficients!$D$11*(K18-5)+Coefficients!$D$12*(L18-5)+Coefficients!$D$13*(M18-5)+Coefficients!$D$14*(N18-5)+Coefficients!$D$16*P18+INDEX(Coefficients!$D$21:$D$27,MATCH(A18,Coefficients!$A$21:$A$27,0))</f>
        <v>-3.16432261510776</v>
      </c>
      <c r="AE18" s="17" t="n">
        <f aca="false">O18-AD18</f>
        <v>-0.078050342433865</v>
      </c>
      <c r="AF18" s="11" t="n">
        <f aca="false">INDEX(Coefficients!$D$37:$D$50,MATCH(B18,Coefficients!$A$37:$A$50,0))</f>
        <v>0.0140088123179725</v>
      </c>
      <c r="AG18" s="17" t="n">
        <f aca="false">AE18-AF18</f>
        <v>-0.0920591547518375</v>
      </c>
    </row>
    <row r="19" customFormat="false" ht="15" hidden="false" customHeight="false" outlineLevel="0" collapsed="false">
      <c r="A19" s="23" t="s">
        <v>135</v>
      </c>
      <c r="B19" s="23" t="s">
        <v>88</v>
      </c>
      <c r="C19" s="23" t="s">
        <v>134</v>
      </c>
      <c r="D19" s="23" t="s">
        <v>85</v>
      </c>
      <c r="E19" s="27" t="n">
        <v>0.38</v>
      </c>
      <c r="F19" s="27" t="n">
        <v>3.25</v>
      </c>
      <c r="G19" s="27" t="n">
        <v>1</v>
      </c>
      <c r="H19" s="27" t="n">
        <v>3.33</v>
      </c>
      <c r="I19" s="27" t="n">
        <v>1.5</v>
      </c>
      <c r="J19" s="27" t="n">
        <v>9.5</v>
      </c>
      <c r="K19" s="27" t="n">
        <v>2.5</v>
      </c>
      <c r="L19" s="27" t="n">
        <v>6</v>
      </c>
      <c r="M19" s="27" t="n">
        <v>6.14</v>
      </c>
      <c r="N19" s="27" t="n">
        <v>4.5</v>
      </c>
      <c r="O19" s="11" t="n">
        <f aca="false">Votes!I19</f>
        <v>-3.70088469258451</v>
      </c>
      <c r="P19" s="11" t="n">
        <f aca="false">Votes!K19</f>
        <v>-2.26831695752773</v>
      </c>
      <c r="Q19" s="23" t="n">
        <v>4</v>
      </c>
      <c r="R19" s="27" t="n">
        <v>4.49</v>
      </c>
      <c r="S19" s="27" t="n">
        <v>8.37</v>
      </c>
      <c r="T19" s="27" t="n">
        <v>4.5</v>
      </c>
      <c r="U19" s="27" t="n">
        <v>22.62</v>
      </c>
      <c r="V19" s="27" t="n">
        <v>6.5</v>
      </c>
      <c r="W19" s="8" t="n">
        <f aca="false">IF($A19="P2017",1,0)</f>
        <v>0</v>
      </c>
      <c r="X19" s="8" t="n">
        <f aca="false">IF($A19="L2017",1,0)</f>
        <v>1</v>
      </c>
      <c r="Y19" s="8" t="n">
        <f aca="false">IF($A19="E2019",1,0)</f>
        <v>0</v>
      </c>
      <c r="Z19" s="8" t="n">
        <f aca="false">IF($A19="P2022",1,0)</f>
        <v>0</v>
      </c>
      <c r="AA19" s="8" t="n">
        <f aca="false">IF($A19="L2022",1,0)</f>
        <v>0</v>
      </c>
      <c r="AB19" s="8" t="n">
        <f aca="false">IF($A19="E2024",1,0)</f>
        <v>0</v>
      </c>
      <c r="AC19" s="8" t="n">
        <f aca="false">IF($A19="L2024",1,0)</f>
        <v>0</v>
      </c>
      <c r="AD19" s="11" t="n">
        <f aca="false">Coefficients!$D$5*(E19-5)+Coefficients!$D$6*(F19-5)+Coefficients!$D$7*(G19-5)+Coefficients!$D$8*(H19-5)+Coefficients!$D$9*(I19-5)+Coefficients!$D$10*(J19-5)+Coefficients!$D$11*(K19-5)+Coefficients!$D$12*(L19-5)+Coefficients!$D$13*(M19-5)+Coefficients!$D$14*(N19-5)+Coefficients!$D$16*P19+INDEX(Coefficients!$D$21:$D$27,MATCH(A19,Coefficients!$A$21:$A$27,0))</f>
        <v>-3.53620949938358</v>
      </c>
      <c r="AE19" s="17" t="n">
        <f aca="false">O19-AD19</f>
        <v>-0.164675193200932</v>
      </c>
      <c r="AF19" s="11" t="n">
        <f aca="false">INDEX(Coefficients!$D$37:$D$50,MATCH(B19,Coefficients!$A$37:$A$50,0))</f>
        <v>-0.154270354181365</v>
      </c>
      <c r="AG19" s="17" t="n">
        <f aca="false">AE19-AF19</f>
        <v>-0.0104048390195672</v>
      </c>
    </row>
    <row r="20" customFormat="false" ht="15" hidden="false" customHeight="false" outlineLevel="0" collapsed="false">
      <c r="A20" s="23" t="s">
        <v>135</v>
      </c>
      <c r="B20" s="23" t="s">
        <v>99</v>
      </c>
      <c r="C20" s="23" t="s">
        <v>134</v>
      </c>
      <c r="D20" s="23" t="s">
        <v>97</v>
      </c>
      <c r="E20" s="27" t="n">
        <v>6.5</v>
      </c>
      <c r="F20" s="27" t="n">
        <v>9.33</v>
      </c>
      <c r="G20" s="27" t="n">
        <v>5</v>
      </c>
      <c r="H20" s="27" t="n">
        <v>0.71</v>
      </c>
      <c r="I20" s="27" t="n">
        <v>6.5</v>
      </c>
      <c r="J20" s="27" t="n">
        <v>3.6</v>
      </c>
      <c r="K20" s="27" t="n">
        <v>9</v>
      </c>
      <c r="L20" s="27" t="n">
        <v>3</v>
      </c>
      <c r="M20" s="27" t="n">
        <v>3.5</v>
      </c>
      <c r="N20" s="27" t="n">
        <v>5</v>
      </c>
      <c r="O20" s="11" t="n">
        <f aca="false">Votes!I20</f>
        <v>-4.54198503993706</v>
      </c>
      <c r="P20" s="11" t="n">
        <f aca="false">Votes!K20</f>
        <v>-3.34354586510955</v>
      </c>
      <c r="Q20" s="23" t="n">
        <v>2</v>
      </c>
      <c r="R20" s="27" t="n">
        <v>13.93</v>
      </c>
      <c r="S20" s="27" t="n">
        <v>17.76</v>
      </c>
      <c r="T20" s="27" t="n">
        <v>11</v>
      </c>
      <c r="U20" s="27" t="n">
        <v>8.12</v>
      </c>
      <c r="V20" s="27" t="n">
        <v>14.5</v>
      </c>
      <c r="W20" s="8" t="n">
        <f aca="false">IF($A20="P2017",1,0)</f>
        <v>0</v>
      </c>
      <c r="X20" s="8" t="n">
        <f aca="false">IF($A20="L2017",1,0)</f>
        <v>1</v>
      </c>
      <c r="Y20" s="8" t="n">
        <f aca="false">IF($A20="E2019",1,0)</f>
        <v>0</v>
      </c>
      <c r="Z20" s="8" t="n">
        <f aca="false">IF($A20="P2022",1,0)</f>
        <v>0</v>
      </c>
      <c r="AA20" s="8" t="n">
        <f aca="false">IF($A20="L2022",1,0)</f>
        <v>0</v>
      </c>
      <c r="AB20" s="8" t="n">
        <f aca="false">IF($A20="E2024",1,0)</f>
        <v>0</v>
      </c>
      <c r="AC20" s="8" t="n">
        <f aca="false">IF($A20="L2024",1,0)</f>
        <v>0</v>
      </c>
      <c r="AD20" s="11" t="n">
        <f aca="false">Coefficients!$D$5*(E20-5)+Coefficients!$D$6*(F20-5)+Coefficients!$D$7*(G20-5)+Coefficients!$D$8*(H20-5)+Coefficients!$D$9*(I20-5)+Coefficients!$D$10*(J20-5)+Coefficients!$D$11*(K20-5)+Coefficients!$D$12*(L20-5)+Coefficients!$D$13*(M20-5)+Coefficients!$D$14*(N20-5)+Coefficients!$D$16*P20+INDEX(Coefficients!$D$21:$D$27,MATCH(A20,Coefficients!$A$21:$A$27,0))</f>
        <v>-4.20450917010557</v>
      </c>
      <c r="AE20" s="17" t="n">
        <f aca="false">O20-AD20</f>
        <v>-0.337475869831486</v>
      </c>
      <c r="AF20" s="11" t="n">
        <f aca="false">INDEX(Coefficients!$D$37:$D$50,MATCH(B20,Coefficients!$A$37:$A$50,0))</f>
        <v>-0.161983497544118</v>
      </c>
      <c r="AG20" s="17" t="n">
        <f aca="false">AE20-AF20</f>
        <v>-0.175492372287367</v>
      </c>
    </row>
    <row r="21" customFormat="false" ht="15" hidden="false" customHeight="false" outlineLevel="0" collapsed="false">
      <c r="A21" s="23" t="s">
        <v>135</v>
      </c>
      <c r="B21" s="23" t="s">
        <v>84</v>
      </c>
      <c r="C21" s="23" t="s">
        <v>134</v>
      </c>
      <c r="D21" s="23" t="s">
        <v>85</v>
      </c>
      <c r="E21" s="27" t="n">
        <v>0</v>
      </c>
      <c r="F21" s="27" t="n">
        <v>0</v>
      </c>
      <c r="G21" s="27" t="n">
        <v>0</v>
      </c>
      <c r="H21" s="27" t="n">
        <v>2</v>
      </c>
      <c r="I21" s="27" t="n">
        <v>0.5</v>
      </c>
      <c r="J21" s="27" t="n">
        <v>10</v>
      </c>
      <c r="K21" s="27" t="n">
        <v>0.5</v>
      </c>
      <c r="L21" s="27" t="n">
        <v>6</v>
      </c>
      <c r="M21" s="27" t="n">
        <v>6</v>
      </c>
      <c r="N21" s="27" t="n">
        <v>3</v>
      </c>
      <c r="O21" s="11" t="n">
        <f aca="false">Votes!I21</f>
        <v>-4.9572904329606</v>
      </c>
      <c r="P21" s="11" t="n">
        <f aca="false">Votes!K21</f>
        <v>-3.52472269790382</v>
      </c>
      <c r="Q21" s="23" t="n">
        <v>4</v>
      </c>
      <c r="R21" s="27" t="n">
        <v>4.87</v>
      </c>
      <c r="S21" s="27" t="n">
        <v>11.62</v>
      </c>
      <c r="T21" s="27" t="n">
        <v>5.5</v>
      </c>
      <c r="U21" s="27" t="n">
        <v>23.95</v>
      </c>
      <c r="V21" s="27" t="n">
        <v>7.5</v>
      </c>
      <c r="W21" s="8" t="n">
        <f aca="false">IF($A21="P2017",1,0)</f>
        <v>0</v>
      </c>
      <c r="X21" s="8" t="n">
        <f aca="false">IF($A21="L2017",1,0)</f>
        <v>1</v>
      </c>
      <c r="Y21" s="8" t="n">
        <f aca="false">IF($A21="E2019",1,0)</f>
        <v>0</v>
      </c>
      <c r="Z21" s="8" t="n">
        <f aca="false">IF($A21="P2022",1,0)</f>
        <v>0</v>
      </c>
      <c r="AA21" s="8" t="n">
        <f aca="false">IF($A21="L2022",1,0)</f>
        <v>0</v>
      </c>
      <c r="AB21" s="8" t="n">
        <f aca="false">IF($A21="E2024",1,0)</f>
        <v>0</v>
      </c>
      <c r="AC21" s="8" t="n">
        <f aca="false">IF($A21="L2024",1,0)</f>
        <v>0</v>
      </c>
      <c r="AD21" s="11" t="n">
        <f aca="false">Coefficients!$D$5*(E21-5)+Coefficients!$D$6*(F21-5)+Coefficients!$D$7*(G21-5)+Coefficients!$D$8*(H21-5)+Coefficients!$D$9*(I21-5)+Coefficients!$D$10*(J21-5)+Coefficients!$D$11*(K21-5)+Coefficients!$D$12*(L21-5)+Coefficients!$D$13*(M21-5)+Coefficients!$D$14*(N21-5)+Coefficients!$D$16*P21+INDEX(Coefficients!$D$21:$D$27,MATCH(A21,Coefficients!$A$21:$A$27,0))</f>
        <v>-4.88577525915092</v>
      </c>
      <c r="AE21" s="17" t="n">
        <f aca="false">O21-AD21</f>
        <v>-0.0715151738096802</v>
      </c>
      <c r="AF21" s="11" t="n">
        <f aca="false">INDEX(Coefficients!$D$37:$D$50,MATCH(B21,Coefficients!$A$37:$A$50,0))</f>
        <v>-0.0473037570116817</v>
      </c>
      <c r="AG21" s="17" t="n">
        <f aca="false">AE21-AF21</f>
        <v>-0.0242114167979985</v>
      </c>
    </row>
    <row r="22" customFormat="false" ht="15" hidden="false" customHeight="false" outlineLevel="0" collapsed="false">
      <c r="A22" s="23" t="s">
        <v>137</v>
      </c>
      <c r="B22" s="23" t="s">
        <v>100</v>
      </c>
      <c r="C22" s="23" t="s">
        <v>134</v>
      </c>
      <c r="D22" s="23" t="s">
        <v>97</v>
      </c>
      <c r="E22" s="27" t="n">
        <v>5.43</v>
      </c>
      <c r="F22" s="27" t="n">
        <v>9.88</v>
      </c>
      <c r="G22" s="27" t="n">
        <v>3.5</v>
      </c>
      <c r="H22" s="27" t="n">
        <v>0.62</v>
      </c>
      <c r="I22" s="27" t="n">
        <v>7.5</v>
      </c>
      <c r="J22" s="27" t="n">
        <v>6</v>
      </c>
      <c r="K22" s="27" t="n">
        <v>9.25</v>
      </c>
      <c r="L22" s="27" t="n">
        <v>2.5</v>
      </c>
      <c r="M22" s="27" t="n">
        <v>2.75</v>
      </c>
      <c r="N22" s="27" t="n">
        <v>2.33</v>
      </c>
      <c r="O22" s="11" t="n">
        <f aca="false">Votes!I22</f>
        <v>-1.541165101228</v>
      </c>
      <c r="P22" s="11" t="n">
        <f aca="false">Votes!K22</f>
        <v>-0.46483140747269</v>
      </c>
      <c r="Q22" s="23" t="n">
        <v>3</v>
      </c>
      <c r="R22" s="27" t="n">
        <v>20</v>
      </c>
      <c r="S22" s="27" t="n">
        <v>24.21</v>
      </c>
      <c r="T22" s="27" t="n">
        <v>17.5</v>
      </c>
      <c r="U22" s="27" t="n">
        <v>8.21</v>
      </c>
      <c r="V22" s="27" t="n">
        <v>16.5</v>
      </c>
      <c r="W22" s="8" t="n">
        <f aca="false">IF($A22="P2017",1,0)</f>
        <v>0</v>
      </c>
      <c r="X22" s="8" t="n">
        <f aca="false">IF($A22="L2017",1,0)</f>
        <v>0</v>
      </c>
      <c r="Y22" s="8" t="n">
        <f aca="false">IF($A22="E2019",1,0)</f>
        <v>1</v>
      </c>
      <c r="Z22" s="8" t="n">
        <f aca="false">IF($A22="P2022",1,0)</f>
        <v>0</v>
      </c>
      <c r="AA22" s="8" t="n">
        <f aca="false">IF($A22="L2022",1,0)</f>
        <v>0</v>
      </c>
      <c r="AB22" s="8" t="n">
        <f aca="false">IF($A22="E2024",1,0)</f>
        <v>0</v>
      </c>
      <c r="AC22" s="8" t="n">
        <f aca="false">IF($A22="L2024",1,0)</f>
        <v>0</v>
      </c>
      <c r="AD22" s="11" t="n">
        <f aca="false">Coefficients!$D$5*(E22-5)+Coefficients!$D$6*(F22-5)+Coefficients!$D$7*(G22-5)+Coefficients!$D$8*(H22-5)+Coefficients!$D$9*(I22-5)+Coefficients!$D$10*(J22-5)+Coefficients!$D$11*(K22-5)+Coefficients!$D$12*(L22-5)+Coefficients!$D$13*(M22-5)+Coefficients!$D$14*(N22-5)+Coefficients!$D$16*P22+INDEX(Coefficients!$D$21:$D$27,MATCH(A22,Coefficients!$A$21:$A$27,0))</f>
        <v>-1.69570689769447</v>
      </c>
      <c r="AE22" s="17" t="n">
        <f aca="false">O22-AD22</f>
        <v>0.154541796466468</v>
      </c>
      <c r="AF22" s="11" t="n">
        <f aca="false">INDEX(Coefficients!$D$37:$D$50,MATCH(B22,Coefficients!$A$37:$A$50,0))</f>
        <v>0.0992840489715974</v>
      </c>
      <c r="AG22" s="17" t="n">
        <f aca="false">AE22-AF22</f>
        <v>0.0552577474948707</v>
      </c>
    </row>
    <row r="23" customFormat="false" ht="15" hidden="false" customHeight="false" outlineLevel="0" collapsed="false">
      <c r="A23" s="23" t="s">
        <v>137</v>
      </c>
      <c r="B23" s="23" t="s">
        <v>94</v>
      </c>
      <c r="C23" s="23" t="s">
        <v>134</v>
      </c>
      <c r="D23" s="23" t="s">
        <v>95</v>
      </c>
      <c r="E23" s="27" t="n">
        <v>5.658</v>
      </c>
      <c r="F23" s="27" t="n">
        <v>5.612</v>
      </c>
      <c r="G23" s="27" t="n">
        <v>6</v>
      </c>
      <c r="H23" s="27" t="n">
        <v>9.68</v>
      </c>
      <c r="I23" s="27" t="n">
        <v>4.9</v>
      </c>
      <c r="J23" s="27" t="n">
        <v>4.164</v>
      </c>
      <c r="K23" s="27" t="n">
        <v>5.714</v>
      </c>
      <c r="L23" s="27" t="n">
        <v>5.5</v>
      </c>
      <c r="M23" s="27" t="n">
        <v>4.636</v>
      </c>
      <c r="N23" s="27" t="n">
        <v>8.27</v>
      </c>
      <c r="O23" s="11" t="n">
        <f aca="false">Votes!I23</f>
        <v>-1.58128719552867</v>
      </c>
      <c r="P23" s="11" t="n">
        <f aca="false">Votes!K23</f>
        <v>0</v>
      </c>
      <c r="Q23" s="23" t="n">
        <v>0</v>
      </c>
      <c r="R23" s="27" t="n">
        <v>0</v>
      </c>
      <c r="S23" s="27" t="n">
        <v>0</v>
      </c>
      <c r="T23" s="27" t="n">
        <v>0</v>
      </c>
      <c r="U23" s="27" t="n">
        <v>0</v>
      </c>
      <c r="V23" s="27" t="n">
        <v>0</v>
      </c>
      <c r="W23" s="8" t="n">
        <f aca="false">IF($A23="P2017",1,0)</f>
        <v>0</v>
      </c>
      <c r="X23" s="8" t="n">
        <f aca="false">IF($A23="L2017",1,0)</f>
        <v>0</v>
      </c>
      <c r="Y23" s="8" t="n">
        <f aca="false">IF($A23="E2019",1,0)</f>
        <v>1</v>
      </c>
      <c r="Z23" s="8" t="n">
        <f aca="false">IF($A23="P2022",1,0)</f>
        <v>0</v>
      </c>
      <c r="AA23" s="8" t="n">
        <f aca="false">IF($A23="L2022",1,0)</f>
        <v>0</v>
      </c>
      <c r="AB23" s="8" t="n">
        <f aca="false">IF($A23="E2024",1,0)</f>
        <v>0</v>
      </c>
      <c r="AC23" s="8" t="n">
        <f aca="false">IF($A23="L2024",1,0)</f>
        <v>0</v>
      </c>
      <c r="AD23" s="11" t="n">
        <f aca="false">Coefficients!$D$5*(E23-5)+Coefficients!$D$6*(F23-5)+Coefficients!$D$7*(G23-5)+Coefficients!$D$8*(H23-5)+Coefficients!$D$9*(I23-5)+Coefficients!$D$10*(J23-5)+Coefficients!$D$11*(K23-5)+Coefficients!$D$12*(L23-5)+Coefficients!$D$13*(M23-5)+Coefficients!$D$14*(N23-5)+Coefficients!$D$16*P23+INDEX(Coefficients!$D$21:$D$27,MATCH(A23,Coefficients!$A$21:$A$27,0))</f>
        <v>-1.49743814273816</v>
      </c>
      <c r="AE23" s="17" t="n">
        <f aca="false">O23-AD23</f>
        <v>-0.0838490527905114</v>
      </c>
      <c r="AF23" s="11" t="n">
        <f aca="false">INDEX(Coefficients!$D$37:$D$50,MATCH(B23,Coefficients!$A$37:$A$50,0))</f>
        <v>-0.0529529317394688</v>
      </c>
      <c r="AG23" s="17" t="n">
        <f aca="false">AE23-AF23</f>
        <v>-0.0308961210510425</v>
      </c>
    </row>
    <row r="24" customFormat="false" ht="15" hidden="false" customHeight="false" outlineLevel="0" collapsed="false">
      <c r="A24" s="23" t="s">
        <v>137</v>
      </c>
      <c r="B24" s="23" t="s">
        <v>90</v>
      </c>
      <c r="C24" s="23" t="s">
        <v>134</v>
      </c>
      <c r="D24" s="23" t="s">
        <v>85</v>
      </c>
      <c r="E24" s="27" t="n">
        <v>1.75</v>
      </c>
      <c r="F24" s="27" t="n">
        <v>1.62</v>
      </c>
      <c r="G24" s="27" t="n">
        <v>1.5</v>
      </c>
      <c r="H24" s="27" t="n">
        <v>8.96</v>
      </c>
      <c r="I24" s="27" t="n">
        <v>2</v>
      </c>
      <c r="J24" s="27" t="n">
        <v>7.62</v>
      </c>
      <c r="K24" s="27" t="n">
        <v>1.25</v>
      </c>
      <c r="L24" s="27" t="n">
        <v>9.25</v>
      </c>
      <c r="M24" s="27" t="n">
        <v>8.38</v>
      </c>
      <c r="N24" s="27" t="n">
        <v>7</v>
      </c>
      <c r="O24" s="11" t="n">
        <f aca="false">Votes!I24</f>
        <v>-2.0896174194439</v>
      </c>
      <c r="P24" s="11" t="n">
        <f aca="false">Votes!K24</f>
        <v>-0.774520353695143</v>
      </c>
      <c r="Q24" s="23" t="n">
        <v>4</v>
      </c>
      <c r="R24" s="27" t="n">
        <v>3.12</v>
      </c>
      <c r="S24" s="27" t="n">
        <v>10</v>
      </c>
      <c r="T24" s="27" t="n">
        <v>4</v>
      </c>
      <c r="U24" s="27" t="n">
        <v>16.99</v>
      </c>
      <c r="V24" s="27" t="n">
        <v>6</v>
      </c>
      <c r="W24" s="8" t="n">
        <f aca="false">IF($A24="P2017",1,0)</f>
        <v>0</v>
      </c>
      <c r="X24" s="8" t="n">
        <f aca="false">IF($A24="L2017",1,0)</f>
        <v>0</v>
      </c>
      <c r="Y24" s="8" t="n">
        <f aca="false">IF($A24="E2019",1,0)</f>
        <v>1</v>
      </c>
      <c r="Z24" s="8" t="n">
        <f aca="false">IF($A24="P2022",1,0)</f>
        <v>0</v>
      </c>
      <c r="AA24" s="8" t="n">
        <f aca="false">IF($A24="L2022",1,0)</f>
        <v>0</v>
      </c>
      <c r="AB24" s="8" t="n">
        <f aca="false">IF($A24="E2024",1,0)</f>
        <v>0</v>
      </c>
      <c r="AC24" s="8" t="n">
        <f aca="false">IF($A24="L2024",1,0)</f>
        <v>0</v>
      </c>
      <c r="AD24" s="11" t="n">
        <f aca="false">Coefficients!$D$5*(E24-5)+Coefficients!$D$6*(F24-5)+Coefficients!$D$7*(G24-5)+Coefficients!$D$8*(H24-5)+Coefficients!$D$9*(I24-5)+Coefficients!$D$10*(J24-5)+Coefficients!$D$11*(K24-5)+Coefficients!$D$12*(L24-5)+Coefficients!$D$13*(M24-5)+Coefficients!$D$14*(N24-5)+Coefficients!$D$16*P24+INDEX(Coefficients!$D$21:$D$27,MATCH(A24,Coefficients!$A$21:$A$27,0))</f>
        <v>-2.26900288857238</v>
      </c>
      <c r="AE24" s="17" t="n">
        <f aca="false">O24-AD24</f>
        <v>0.179385469128482</v>
      </c>
      <c r="AF24" s="11" t="n">
        <f aca="false">INDEX(Coefficients!$D$37:$D$50,MATCH(B24,Coefficients!$A$37:$A$50,0))</f>
        <v>0.0140088123179725</v>
      </c>
      <c r="AG24" s="17" t="n">
        <f aca="false">AE24-AF24</f>
        <v>0.165376656810509</v>
      </c>
    </row>
    <row r="25" customFormat="false" ht="15" hidden="false" customHeight="false" outlineLevel="0" collapsed="false">
      <c r="A25" s="23" t="s">
        <v>137</v>
      </c>
      <c r="B25" s="23" t="s">
        <v>96</v>
      </c>
      <c r="C25" s="23" t="s">
        <v>134</v>
      </c>
      <c r="D25" s="23" t="s">
        <v>97</v>
      </c>
      <c r="E25" s="27" t="n">
        <v>8.5</v>
      </c>
      <c r="F25" s="27" t="n">
        <v>7.88</v>
      </c>
      <c r="G25" s="27" t="n">
        <v>7.5</v>
      </c>
      <c r="H25" s="27" t="n">
        <v>7.5</v>
      </c>
      <c r="I25" s="27" t="n">
        <v>7</v>
      </c>
      <c r="J25" s="27" t="n">
        <v>2.62</v>
      </c>
      <c r="K25" s="27" t="n">
        <v>7.62</v>
      </c>
      <c r="L25" s="27" t="n">
        <v>4</v>
      </c>
      <c r="M25" s="27" t="n">
        <v>2.75</v>
      </c>
      <c r="N25" s="27" t="n">
        <v>7</v>
      </c>
      <c r="O25" s="11" t="n">
        <f aca="false">Votes!I25</f>
        <v>-2.55386739793874</v>
      </c>
      <c r="P25" s="11" t="n">
        <f aca="false">Votes!K25</f>
        <v>-1.47753370418343</v>
      </c>
      <c r="Q25" s="23" t="n">
        <v>3</v>
      </c>
      <c r="R25" s="27" t="n">
        <v>16.93</v>
      </c>
      <c r="S25" s="27" t="n">
        <v>26.21</v>
      </c>
      <c r="T25" s="27" t="n">
        <v>13.5</v>
      </c>
      <c r="U25" s="27" t="n">
        <v>1.33</v>
      </c>
      <c r="V25" s="27" t="n">
        <v>17</v>
      </c>
      <c r="W25" s="8" t="n">
        <f aca="false">IF($A25="P2017",1,0)</f>
        <v>0</v>
      </c>
      <c r="X25" s="8" t="n">
        <f aca="false">IF($A25="L2017",1,0)</f>
        <v>0</v>
      </c>
      <c r="Y25" s="8" t="n">
        <f aca="false">IF($A25="E2019",1,0)</f>
        <v>1</v>
      </c>
      <c r="Z25" s="8" t="n">
        <f aca="false">IF($A25="P2022",1,0)</f>
        <v>0</v>
      </c>
      <c r="AA25" s="8" t="n">
        <f aca="false">IF($A25="L2022",1,0)</f>
        <v>0</v>
      </c>
      <c r="AB25" s="8" t="n">
        <f aca="false">IF($A25="E2024",1,0)</f>
        <v>0</v>
      </c>
      <c r="AC25" s="8" t="n">
        <f aca="false">IF($A25="L2024",1,0)</f>
        <v>0</v>
      </c>
      <c r="AD25" s="11" t="n">
        <f aca="false">Coefficients!$D$5*(E25-5)+Coefficients!$D$6*(F25-5)+Coefficients!$D$7*(G25-5)+Coefficients!$D$8*(H25-5)+Coefficients!$D$9*(I25-5)+Coefficients!$D$10*(J25-5)+Coefficients!$D$11*(K25-5)+Coefficients!$D$12*(L25-5)+Coefficients!$D$13*(M25-5)+Coefficients!$D$14*(N25-5)+Coefficients!$D$16*P25+INDEX(Coefficients!$D$21:$D$27,MATCH(A25,Coefficients!$A$21:$A$27,0))</f>
        <v>-2.67067765150994</v>
      </c>
      <c r="AE25" s="17" t="n">
        <f aca="false">O25-AD25</f>
        <v>0.116810253571197</v>
      </c>
      <c r="AF25" s="11" t="n">
        <f aca="false">INDEX(Coefficients!$D$37:$D$50,MATCH(B25,Coefficients!$A$37:$A$50,0))</f>
        <v>0.0939910574782023</v>
      </c>
      <c r="AG25" s="17" t="n">
        <f aca="false">AE25-AF25</f>
        <v>0.0228191960929947</v>
      </c>
    </row>
    <row r="26" customFormat="false" ht="15" hidden="false" customHeight="false" outlineLevel="0" collapsed="false">
      <c r="A26" s="23" t="s">
        <v>137</v>
      </c>
      <c r="B26" s="23" t="s">
        <v>87</v>
      </c>
      <c r="C26" s="23" t="s">
        <v>134</v>
      </c>
      <c r="D26" s="23" t="s">
        <v>85</v>
      </c>
      <c r="E26" s="27" t="n">
        <v>0.62</v>
      </c>
      <c r="F26" s="27" t="n">
        <v>4</v>
      </c>
      <c r="G26" s="27" t="n">
        <v>1</v>
      </c>
      <c r="H26" s="27" t="n">
        <v>3.12</v>
      </c>
      <c r="I26" s="27" t="n">
        <v>1</v>
      </c>
      <c r="J26" s="27" t="n">
        <v>9.38</v>
      </c>
      <c r="K26" s="27" t="n">
        <v>1.88</v>
      </c>
      <c r="L26" s="27" t="n">
        <v>7.75</v>
      </c>
      <c r="M26" s="27" t="n">
        <v>6.12</v>
      </c>
      <c r="N26" s="27" t="n">
        <v>5</v>
      </c>
      <c r="O26" s="11" t="n">
        <f aca="false">Votes!I26</f>
        <v>-2.84974599687644</v>
      </c>
      <c r="P26" s="11" t="n">
        <f aca="false">Votes!K26</f>
        <v>-1.53464893112768</v>
      </c>
      <c r="Q26" s="23" t="n">
        <v>4</v>
      </c>
      <c r="R26" s="27" t="n">
        <v>4.25</v>
      </c>
      <c r="S26" s="27" t="n">
        <v>7.62</v>
      </c>
      <c r="T26" s="27" t="n">
        <v>4.5</v>
      </c>
      <c r="U26" s="27" t="n">
        <v>22.83</v>
      </c>
      <c r="V26" s="27" t="n">
        <v>7</v>
      </c>
      <c r="W26" s="8" t="n">
        <f aca="false">IF($A26="P2017",1,0)</f>
        <v>0</v>
      </c>
      <c r="X26" s="8" t="n">
        <f aca="false">IF($A26="L2017",1,0)</f>
        <v>0</v>
      </c>
      <c r="Y26" s="8" t="n">
        <f aca="false">IF($A26="E2019",1,0)</f>
        <v>1</v>
      </c>
      <c r="Z26" s="8" t="n">
        <f aca="false">IF($A26="P2022",1,0)</f>
        <v>0</v>
      </c>
      <c r="AA26" s="8" t="n">
        <f aca="false">IF($A26="L2022",1,0)</f>
        <v>0</v>
      </c>
      <c r="AB26" s="8" t="n">
        <f aca="false">IF($A26="E2024",1,0)</f>
        <v>0</v>
      </c>
      <c r="AC26" s="8" t="n">
        <f aca="false">IF($A26="L2024",1,0)</f>
        <v>0</v>
      </c>
      <c r="AD26" s="11" t="n">
        <f aca="false">Coefficients!$D$5*(E26-5)+Coefficients!$D$6*(F26-5)+Coefficients!$D$7*(G26-5)+Coefficients!$D$8*(H26-5)+Coefficients!$D$9*(I26-5)+Coefficients!$D$10*(J26-5)+Coefficients!$D$11*(K26-5)+Coefficients!$D$12*(L26-5)+Coefficients!$D$13*(M26-5)+Coefficients!$D$14*(N26-5)+Coefficients!$D$16*P26+INDEX(Coefficients!$D$21:$D$27,MATCH(A26,Coefficients!$A$21:$A$27,0))</f>
        <v>-2.82093167611296</v>
      </c>
      <c r="AE26" s="17" t="n">
        <f aca="false">O26-AD26</f>
        <v>-0.0288143207634772</v>
      </c>
      <c r="AF26" s="11" t="n">
        <f aca="false">INDEX(Coefficients!$D$37:$D$50,MATCH(B26,Coefficients!$A$37:$A$50,0))</f>
        <v>0.17716643432396</v>
      </c>
      <c r="AG26" s="17" t="n">
        <f aca="false">AE26-AF26</f>
        <v>-0.205980755087437</v>
      </c>
    </row>
    <row r="27" customFormat="false" ht="15" hidden="false" customHeight="false" outlineLevel="0" collapsed="false">
      <c r="A27" s="23" t="s">
        <v>137</v>
      </c>
      <c r="B27" s="23" t="s">
        <v>92</v>
      </c>
      <c r="C27" s="23" t="s">
        <v>134</v>
      </c>
      <c r="D27" s="23" t="s">
        <v>85</v>
      </c>
      <c r="E27" s="27" t="n">
        <v>2.12</v>
      </c>
      <c r="F27" s="27" t="n">
        <v>2.75</v>
      </c>
      <c r="G27" s="27" t="n">
        <v>2</v>
      </c>
      <c r="H27" s="27" t="n">
        <v>8.54</v>
      </c>
      <c r="I27" s="27" t="n">
        <v>3</v>
      </c>
      <c r="J27" s="27" t="n">
        <v>7.75</v>
      </c>
      <c r="K27" s="27" t="n">
        <v>2</v>
      </c>
      <c r="L27" s="27" t="n">
        <v>6.75</v>
      </c>
      <c r="M27" s="27" t="n">
        <v>6</v>
      </c>
      <c r="N27" s="27" t="n">
        <v>7.67</v>
      </c>
      <c r="O27" s="11" t="n">
        <f aca="false">Votes!I27</f>
        <v>-2.86767057797699</v>
      </c>
      <c r="P27" s="11" t="n">
        <f aca="false">Votes!K27</f>
        <v>-1.55257351222823</v>
      </c>
      <c r="Q27" s="23" t="n">
        <v>4</v>
      </c>
      <c r="R27" s="27" t="n">
        <v>2.75</v>
      </c>
      <c r="S27" s="27" t="n">
        <v>8.87</v>
      </c>
      <c r="T27" s="27" t="n">
        <v>3.5</v>
      </c>
      <c r="U27" s="27" t="n">
        <v>17.41</v>
      </c>
      <c r="V27" s="27" t="n">
        <v>5</v>
      </c>
      <c r="W27" s="8" t="n">
        <f aca="false">IF($A27="P2017",1,0)</f>
        <v>0</v>
      </c>
      <c r="X27" s="8" t="n">
        <f aca="false">IF($A27="L2017",1,0)</f>
        <v>0</v>
      </c>
      <c r="Y27" s="8" t="n">
        <f aca="false">IF($A27="E2019",1,0)</f>
        <v>1</v>
      </c>
      <c r="Z27" s="8" t="n">
        <f aca="false">IF($A27="P2022",1,0)</f>
        <v>0</v>
      </c>
      <c r="AA27" s="8" t="n">
        <f aca="false">IF($A27="L2022",1,0)</f>
        <v>0</v>
      </c>
      <c r="AB27" s="8" t="n">
        <f aca="false">IF($A27="E2024",1,0)</f>
        <v>0</v>
      </c>
      <c r="AC27" s="8" t="n">
        <f aca="false">IF($A27="L2024",1,0)</f>
        <v>0</v>
      </c>
      <c r="AD27" s="11" t="n">
        <f aca="false">Coefficients!$D$5*(E27-5)+Coefficients!$D$6*(F27-5)+Coefficients!$D$7*(G27-5)+Coefficients!$D$8*(H27-5)+Coefficients!$D$9*(I27-5)+Coefficients!$D$10*(J27-5)+Coefficients!$D$11*(K27-5)+Coefficients!$D$12*(L27-5)+Coefficients!$D$13*(M27-5)+Coefficients!$D$14*(N27-5)+Coefficients!$D$16*P27+INDEX(Coefficients!$D$21:$D$27,MATCH(A27,Coefficients!$A$21:$A$27,0))</f>
        <v>-2.81116358363589</v>
      </c>
      <c r="AE27" s="17" t="n">
        <f aca="false">O27-AD27</f>
        <v>-0.0565069943411016</v>
      </c>
      <c r="AF27" s="11" t="n">
        <f aca="false">INDEX(Coefficients!$D$37:$D$50,MATCH(B27,Coefficients!$A$37:$A$50,0))</f>
        <v>-0.136066900969572</v>
      </c>
      <c r="AG27" s="17" t="n">
        <f aca="false">AE27-AF27</f>
        <v>0.0795599066284707</v>
      </c>
    </row>
    <row r="28" customFormat="false" ht="15" hidden="false" customHeight="false" outlineLevel="0" collapsed="false">
      <c r="A28" s="23" t="s">
        <v>137</v>
      </c>
      <c r="B28" s="23" t="s">
        <v>99</v>
      </c>
      <c r="C28" s="23" t="s">
        <v>134</v>
      </c>
      <c r="D28" s="23" t="s">
        <v>97</v>
      </c>
      <c r="E28" s="27" t="n">
        <v>6.5</v>
      </c>
      <c r="F28" s="27" t="n">
        <v>9.33</v>
      </c>
      <c r="G28" s="27" t="n">
        <v>5</v>
      </c>
      <c r="H28" s="27" t="n">
        <v>0.71</v>
      </c>
      <c r="I28" s="27" t="n">
        <v>6.5</v>
      </c>
      <c r="J28" s="27" t="n">
        <v>3.6</v>
      </c>
      <c r="K28" s="27" t="n">
        <v>9</v>
      </c>
      <c r="L28" s="27" t="n">
        <v>3</v>
      </c>
      <c r="M28" s="27" t="n">
        <v>3.5</v>
      </c>
      <c r="N28" s="27" t="n">
        <v>5</v>
      </c>
      <c r="O28" s="11" t="n">
        <f aca="false">Votes!I28</f>
        <v>-3.43517891536736</v>
      </c>
      <c r="P28" s="11" t="n">
        <f aca="false">Votes!K28</f>
        <v>-2.35884522161204</v>
      </c>
      <c r="Q28" s="23" t="n">
        <v>3</v>
      </c>
      <c r="R28" s="27" t="n">
        <v>18.93</v>
      </c>
      <c r="S28" s="27" t="n">
        <v>24.76</v>
      </c>
      <c r="T28" s="27" t="n">
        <v>16</v>
      </c>
      <c r="U28" s="27" t="n">
        <v>8.12</v>
      </c>
      <c r="V28" s="27" t="n">
        <v>17.5</v>
      </c>
      <c r="W28" s="8" t="n">
        <f aca="false">IF($A28="P2017",1,0)</f>
        <v>0</v>
      </c>
      <c r="X28" s="8" t="n">
        <f aca="false">IF($A28="L2017",1,0)</f>
        <v>0</v>
      </c>
      <c r="Y28" s="8" t="n">
        <f aca="false">IF($A28="E2019",1,0)</f>
        <v>1</v>
      </c>
      <c r="Z28" s="8" t="n">
        <f aca="false">IF($A28="P2022",1,0)</f>
        <v>0</v>
      </c>
      <c r="AA28" s="8" t="n">
        <f aca="false">IF($A28="L2022",1,0)</f>
        <v>0</v>
      </c>
      <c r="AB28" s="8" t="n">
        <f aca="false">IF($A28="E2024",1,0)</f>
        <v>0</v>
      </c>
      <c r="AC28" s="8" t="n">
        <f aca="false">IF($A28="L2024",1,0)</f>
        <v>0</v>
      </c>
      <c r="AD28" s="11" t="n">
        <f aca="false">Coefficients!$D$5*(E28-5)+Coefficients!$D$6*(F28-5)+Coefficients!$D$7*(G28-5)+Coefficients!$D$8*(H28-5)+Coefficients!$D$9*(I28-5)+Coefficients!$D$10*(J28-5)+Coefficients!$D$11*(K28-5)+Coefficients!$D$12*(L28-5)+Coefficients!$D$13*(M28-5)+Coefficients!$D$14*(N28-5)+Coefficients!$D$16*P28+INDEX(Coefficients!$D$21:$D$27,MATCH(A28,Coefficients!$A$21:$A$27,0))</f>
        <v>-3.34924190580913</v>
      </c>
      <c r="AE28" s="17" t="n">
        <f aca="false">O28-AD28</f>
        <v>-0.0859370095582261</v>
      </c>
      <c r="AF28" s="11" t="n">
        <f aca="false">INDEX(Coefficients!$D$37:$D$50,MATCH(B28,Coefficients!$A$37:$A$50,0))</f>
        <v>-0.161983497544118</v>
      </c>
      <c r="AG28" s="17" t="n">
        <f aca="false">AE28-AF28</f>
        <v>0.0760464879858923</v>
      </c>
    </row>
    <row r="29" customFormat="false" ht="15" hidden="false" customHeight="false" outlineLevel="0" collapsed="false">
      <c r="A29" s="23" t="s">
        <v>137</v>
      </c>
      <c r="B29" s="23" t="s">
        <v>88</v>
      </c>
      <c r="C29" s="23" t="s">
        <v>134</v>
      </c>
      <c r="D29" s="23" t="s">
        <v>85</v>
      </c>
      <c r="E29" s="27" t="n">
        <v>0.38</v>
      </c>
      <c r="F29" s="27" t="n">
        <v>3.25</v>
      </c>
      <c r="G29" s="27" t="n">
        <v>1</v>
      </c>
      <c r="H29" s="27" t="n">
        <v>3.33</v>
      </c>
      <c r="I29" s="27" t="n">
        <v>1.5</v>
      </c>
      <c r="J29" s="27" t="n">
        <v>9.5</v>
      </c>
      <c r="K29" s="27" t="n">
        <v>2.5</v>
      </c>
      <c r="L29" s="27" t="n">
        <v>6</v>
      </c>
      <c r="M29" s="27" t="n">
        <v>6.14</v>
      </c>
      <c r="N29" s="27" t="n">
        <v>4.5</v>
      </c>
      <c r="O29" s="11" t="n">
        <f aca="false">Votes!I29</f>
        <v>-3.77742435807729</v>
      </c>
      <c r="P29" s="11" t="n">
        <f aca="false">Votes!K29</f>
        <v>-2.46232729232853</v>
      </c>
      <c r="Q29" s="23" t="n">
        <v>4</v>
      </c>
      <c r="R29" s="27" t="n">
        <v>4.49</v>
      </c>
      <c r="S29" s="27" t="n">
        <v>8.37</v>
      </c>
      <c r="T29" s="27" t="n">
        <v>4.5</v>
      </c>
      <c r="U29" s="27" t="n">
        <v>22.62</v>
      </c>
      <c r="V29" s="27" t="n">
        <v>6.5</v>
      </c>
      <c r="W29" s="8" t="n">
        <f aca="false">IF($A29="P2017",1,0)</f>
        <v>0</v>
      </c>
      <c r="X29" s="8" t="n">
        <f aca="false">IF($A29="L2017",1,0)</f>
        <v>0</v>
      </c>
      <c r="Y29" s="8" t="n">
        <f aca="false">IF($A29="E2019",1,0)</f>
        <v>1</v>
      </c>
      <c r="Z29" s="8" t="n">
        <f aca="false">IF($A29="P2022",1,0)</f>
        <v>0</v>
      </c>
      <c r="AA29" s="8" t="n">
        <f aca="false">IF($A29="L2022",1,0)</f>
        <v>0</v>
      </c>
      <c r="AB29" s="8" t="n">
        <f aca="false">IF($A29="E2024",1,0)</f>
        <v>0</v>
      </c>
      <c r="AC29" s="8" t="n">
        <f aca="false">IF($A29="L2024",1,0)</f>
        <v>0</v>
      </c>
      <c r="AD29" s="11" t="n">
        <f aca="false">Coefficients!$D$5*(E29-5)+Coefficients!$D$6*(F29-5)+Coefficients!$D$7*(G29-5)+Coefficients!$D$8*(H29-5)+Coefficients!$D$9*(I29-5)+Coefficients!$D$10*(J29-5)+Coefficients!$D$11*(K29-5)+Coefficients!$D$12*(L29-5)+Coefficients!$D$13*(M29-5)+Coefficients!$D$14*(N29-5)+Coefficients!$D$16*P29+INDEX(Coefficients!$D$21:$D$27,MATCH(A29,Coefficients!$A$21:$A$27,0))</f>
        <v>-3.61424262026061</v>
      </c>
      <c r="AE29" s="17" t="n">
        <f aca="false">O29-AD29</f>
        <v>-0.163181737816675</v>
      </c>
      <c r="AF29" s="11" t="n">
        <f aca="false">INDEX(Coefficients!$D$37:$D$50,MATCH(B29,Coefficients!$A$37:$A$50,0))</f>
        <v>-0.154270354181365</v>
      </c>
      <c r="AG29" s="17" t="n">
        <f aca="false">AE29-AF29</f>
        <v>-0.00891138363530986</v>
      </c>
    </row>
    <row r="30" customFormat="false" ht="15" hidden="false" customHeight="false" outlineLevel="0" collapsed="false">
      <c r="A30" s="23" t="s">
        <v>137</v>
      </c>
      <c r="B30" s="23" t="s">
        <v>157</v>
      </c>
      <c r="C30" s="23" t="s">
        <v>134</v>
      </c>
      <c r="D30" s="23" t="s">
        <v>97</v>
      </c>
      <c r="E30" s="27" t="n">
        <v>5</v>
      </c>
      <c r="F30" s="27" t="n">
        <v>7</v>
      </c>
      <c r="G30" s="27" t="n">
        <v>5</v>
      </c>
      <c r="H30" s="27" t="n">
        <v>0</v>
      </c>
      <c r="I30" s="27" t="n">
        <v>3</v>
      </c>
      <c r="J30" s="27" t="n">
        <v>5</v>
      </c>
      <c r="K30" s="27" t="n">
        <v>7</v>
      </c>
      <c r="L30" s="27" t="n">
        <v>3</v>
      </c>
      <c r="M30" s="27" t="n">
        <v>3</v>
      </c>
      <c r="N30" s="27" t="n">
        <v>2</v>
      </c>
      <c r="O30" s="11" t="n">
        <f aca="false">Votes!I30</f>
        <v>-4.09165940636973</v>
      </c>
      <c r="P30" s="11" t="n">
        <f aca="false">Votes!K30</f>
        <v>-3.01532571261442</v>
      </c>
      <c r="Q30" s="23" t="n">
        <v>3</v>
      </c>
      <c r="R30" s="27" t="n">
        <v>20.43</v>
      </c>
      <c r="S30" s="27" t="n">
        <v>27.09</v>
      </c>
      <c r="T30" s="27" t="n">
        <v>16</v>
      </c>
      <c r="U30" s="27" t="n">
        <v>8.83</v>
      </c>
      <c r="V30" s="27" t="n">
        <v>21</v>
      </c>
      <c r="W30" s="8" t="n">
        <f aca="false">IF($A30="P2017",1,0)</f>
        <v>0</v>
      </c>
      <c r="X30" s="8" t="n">
        <f aca="false">IF($A30="L2017",1,0)</f>
        <v>0</v>
      </c>
      <c r="Y30" s="8" t="n">
        <f aca="false">IF($A30="E2019",1,0)</f>
        <v>1</v>
      </c>
      <c r="Z30" s="8" t="n">
        <f aca="false">IF($A30="P2022",1,0)</f>
        <v>0</v>
      </c>
      <c r="AA30" s="8" t="n">
        <f aca="false">IF($A30="L2022",1,0)</f>
        <v>0</v>
      </c>
      <c r="AB30" s="8" t="n">
        <f aca="false">IF($A30="E2024",1,0)</f>
        <v>0</v>
      </c>
      <c r="AC30" s="8" t="n">
        <f aca="false">IF($A30="L2024",1,0)</f>
        <v>0</v>
      </c>
      <c r="AD30" s="11" t="n">
        <f aca="false">Coefficients!$D$5*(E30-5)+Coefficients!$D$6*(F30-5)+Coefficients!$D$7*(G30-5)+Coefficients!$D$8*(H30-5)+Coefficients!$D$9*(I30-5)+Coefficients!$D$10*(J30-5)+Coefficients!$D$11*(K30-5)+Coefficients!$D$12*(L30-5)+Coefficients!$D$13*(M30-5)+Coefficients!$D$14*(N30-5)+Coefficients!$D$16*P30+INDEX(Coefficients!$D$21:$D$27,MATCH(A30,Coefficients!$A$21:$A$27,0))</f>
        <v>-4.11006174003367</v>
      </c>
      <c r="AE30" s="17" t="n">
        <f aca="false">O30-AD30</f>
        <v>0.0184023336639427</v>
      </c>
      <c r="AF30" s="11" t="n">
        <f aca="false">INDEX(Coefficients!$D$37:$D$50,MATCH(B30,Coefficients!$A$37:$A$50,0))</f>
        <v>0.0136009086430849</v>
      </c>
      <c r="AG30" s="17" t="n">
        <f aca="false">AE30-AF30</f>
        <v>0.00480142502085782</v>
      </c>
    </row>
    <row r="31" customFormat="false" ht="15" hidden="false" customHeight="false" outlineLevel="0" collapsed="false">
      <c r="A31" s="23" t="s">
        <v>137</v>
      </c>
      <c r="B31" s="23" t="s">
        <v>84</v>
      </c>
      <c r="C31" s="23" t="s">
        <v>134</v>
      </c>
      <c r="D31" s="23" t="s">
        <v>85</v>
      </c>
      <c r="E31" s="27" t="n">
        <v>0</v>
      </c>
      <c r="F31" s="27" t="n">
        <v>0</v>
      </c>
      <c r="G31" s="27" t="n">
        <v>0</v>
      </c>
      <c r="H31" s="27" t="n">
        <v>2</v>
      </c>
      <c r="I31" s="27" t="n">
        <v>0.5</v>
      </c>
      <c r="J31" s="27" t="n">
        <v>10</v>
      </c>
      <c r="K31" s="27" t="n">
        <v>0.5</v>
      </c>
      <c r="L31" s="27" t="n">
        <v>6</v>
      </c>
      <c r="M31" s="27" t="n">
        <v>6</v>
      </c>
      <c r="N31" s="27" t="n">
        <v>3</v>
      </c>
      <c r="O31" s="11" t="n">
        <f aca="false">Votes!I31</f>
        <v>-4.94175154088313</v>
      </c>
      <c r="P31" s="11" t="n">
        <f aca="false">Votes!K31</f>
        <v>-3.62665447513437</v>
      </c>
      <c r="Q31" s="23" t="n">
        <v>4</v>
      </c>
      <c r="R31" s="27" t="n">
        <v>4.87</v>
      </c>
      <c r="S31" s="27" t="n">
        <v>11.62</v>
      </c>
      <c r="T31" s="27" t="n">
        <v>5.5</v>
      </c>
      <c r="U31" s="27" t="n">
        <v>23.95</v>
      </c>
      <c r="V31" s="27" t="n">
        <v>7.5</v>
      </c>
      <c r="W31" s="8" t="n">
        <f aca="false">IF($A31="P2017",1,0)</f>
        <v>0</v>
      </c>
      <c r="X31" s="8" t="n">
        <f aca="false">IF($A31="L2017",1,0)</f>
        <v>0</v>
      </c>
      <c r="Y31" s="8" t="n">
        <f aca="false">IF($A31="E2019",1,0)</f>
        <v>1</v>
      </c>
      <c r="Z31" s="8" t="n">
        <f aca="false">IF($A31="P2022",1,0)</f>
        <v>0</v>
      </c>
      <c r="AA31" s="8" t="n">
        <f aca="false">IF($A31="L2022",1,0)</f>
        <v>0</v>
      </c>
      <c r="AB31" s="8" t="n">
        <f aca="false">IF($A31="E2024",1,0)</f>
        <v>0</v>
      </c>
      <c r="AC31" s="8" t="n">
        <f aca="false">IF($A31="L2024",1,0)</f>
        <v>0</v>
      </c>
      <c r="AD31" s="11" t="n">
        <f aca="false">Coefficients!$D$5*(E31-5)+Coefficients!$D$6*(F31-5)+Coefficients!$D$7*(G31-5)+Coefficients!$D$8*(H31-5)+Coefficients!$D$9*(I31-5)+Coefficients!$D$10*(J31-5)+Coefficients!$D$11*(K31-5)+Coefficients!$D$12*(L31-5)+Coefficients!$D$13*(M31-5)+Coefficients!$D$14*(N31-5)+Coefficients!$D$16*P31+INDEX(Coefficients!$D$21:$D$27,MATCH(A31,Coefficients!$A$21:$A$27,0))</f>
        <v>-4.89090080995459</v>
      </c>
      <c r="AE31" s="17" t="n">
        <f aca="false">O31-AD31</f>
        <v>-0.050850730928544</v>
      </c>
      <c r="AF31" s="11" t="n">
        <f aca="false">INDEX(Coefficients!$D$37:$D$50,MATCH(B31,Coefficients!$A$37:$A$50,0))</f>
        <v>-0.0473037570116817</v>
      </c>
      <c r="AG31" s="17" t="n">
        <f aca="false">AE31-AF31</f>
        <v>-0.00354697391686225</v>
      </c>
    </row>
    <row r="32" customFormat="false" ht="15" hidden="false" customHeight="false" outlineLevel="0" collapsed="false">
      <c r="A32" s="23" t="s">
        <v>140</v>
      </c>
      <c r="B32" s="23" t="s">
        <v>94</v>
      </c>
      <c r="C32" s="23" t="s">
        <v>142</v>
      </c>
      <c r="D32" s="23" t="s">
        <v>95</v>
      </c>
      <c r="E32" s="27" t="n">
        <v>6.316</v>
      </c>
      <c r="F32" s="27" t="n">
        <v>5.545</v>
      </c>
      <c r="G32" s="27" t="n">
        <v>6.1</v>
      </c>
      <c r="H32" s="27" t="n">
        <v>9</v>
      </c>
      <c r="I32" s="27" t="n">
        <v>4.95</v>
      </c>
      <c r="J32" s="27" t="n">
        <v>3.92</v>
      </c>
      <c r="K32" s="27" t="n">
        <v>5.376</v>
      </c>
      <c r="L32" s="27" t="n">
        <v>5.5</v>
      </c>
      <c r="M32" s="27" t="n">
        <v>4.264</v>
      </c>
      <c r="N32" s="27" t="n">
        <v>8.136</v>
      </c>
      <c r="O32" s="11" t="n">
        <f aca="false">Votes!I32</f>
        <v>-0.330514797166088</v>
      </c>
      <c r="P32" s="11" t="n">
        <f aca="false">Votes!K32</f>
        <v>0</v>
      </c>
      <c r="Q32" s="23" t="n">
        <v>0</v>
      </c>
      <c r="R32" s="27" t="n">
        <v>0</v>
      </c>
      <c r="S32" s="27" t="n">
        <v>0</v>
      </c>
      <c r="T32" s="27" t="n">
        <v>0</v>
      </c>
      <c r="U32" s="27" t="n">
        <v>0</v>
      </c>
      <c r="V32" s="27" t="n">
        <v>0</v>
      </c>
      <c r="W32" s="8" t="n">
        <f aca="false">IF($A32="P2017",1,0)</f>
        <v>0</v>
      </c>
      <c r="X32" s="8" t="n">
        <f aca="false">IF($A32="L2017",1,0)</f>
        <v>0</v>
      </c>
      <c r="Y32" s="8" t="n">
        <f aca="false">IF($A32="E2019",1,0)</f>
        <v>0</v>
      </c>
      <c r="Z32" s="8" t="n">
        <f aca="false">IF($A32="P2022",1,0)</f>
        <v>1</v>
      </c>
      <c r="AA32" s="8" t="n">
        <f aca="false">IF($A32="L2022",1,0)</f>
        <v>0</v>
      </c>
      <c r="AB32" s="8" t="n">
        <f aca="false">IF($A32="E2024",1,0)</f>
        <v>0</v>
      </c>
      <c r="AC32" s="8" t="n">
        <f aca="false">IF($A32="L2024",1,0)</f>
        <v>0</v>
      </c>
      <c r="AD32" s="11" t="n">
        <f aca="false">Coefficients!$D$5*(E32-5)+Coefficients!$D$6*(F32-5)+Coefficients!$D$7*(G32-5)+Coefficients!$D$8*(H32-5)+Coefficients!$D$9*(I32-5)+Coefficients!$D$10*(J32-5)+Coefficients!$D$11*(K32-5)+Coefficients!$D$12*(L32-5)+Coefficients!$D$13*(M32-5)+Coefficients!$D$14*(N32-5)+Coefficients!$D$16*P32+INDEX(Coefficients!$D$21:$D$27,MATCH(A32,Coefficients!$A$21:$A$27,0))</f>
        <v>-0.484565798965381</v>
      </c>
      <c r="AE32" s="17" t="n">
        <f aca="false">O32-AD32</f>
        <v>0.154051001799292</v>
      </c>
      <c r="AF32" s="11" t="n">
        <f aca="false">INDEX(Coefficients!$D$37:$D$50,MATCH(B32,Coefficients!$A$37:$A$50,0))</f>
        <v>-0.0529529317394688</v>
      </c>
      <c r="AG32" s="17" t="n">
        <f aca="false">AE32-AF32</f>
        <v>0.207003933538761</v>
      </c>
    </row>
    <row r="33" customFormat="false" ht="15" hidden="false" customHeight="false" outlineLevel="0" collapsed="false">
      <c r="A33" s="23" t="s">
        <v>140</v>
      </c>
      <c r="B33" s="23" t="s">
        <v>100</v>
      </c>
      <c r="C33" s="23" t="s">
        <v>142</v>
      </c>
      <c r="D33" s="23" t="s">
        <v>97</v>
      </c>
      <c r="E33" s="27" t="n">
        <v>4.33</v>
      </c>
      <c r="F33" s="27" t="n">
        <v>9.55</v>
      </c>
      <c r="G33" s="27" t="n">
        <v>3.5</v>
      </c>
      <c r="H33" s="27" t="n">
        <v>1.97</v>
      </c>
      <c r="I33" s="27" t="n">
        <v>7.5</v>
      </c>
      <c r="J33" s="27" t="n">
        <v>5.3</v>
      </c>
      <c r="K33" s="27" t="n">
        <v>8.83</v>
      </c>
      <c r="L33" s="27" t="n">
        <v>2.5</v>
      </c>
      <c r="M33" s="27" t="n">
        <v>2</v>
      </c>
      <c r="N33" s="27" t="n">
        <v>2.33</v>
      </c>
      <c r="O33" s="11" t="n">
        <f aca="false">Votes!I33</f>
        <v>-0.515135249821812</v>
      </c>
      <c r="P33" s="11" t="n">
        <f aca="false">Votes!K33</f>
        <v>-0.470703101222938</v>
      </c>
      <c r="Q33" s="23" t="n">
        <v>3</v>
      </c>
      <c r="R33" s="27" t="n">
        <v>22.33</v>
      </c>
      <c r="S33" s="27" t="n">
        <v>27.36</v>
      </c>
      <c r="T33" s="27" t="n">
        <v>18.5</v>
      </c>
      <c r="U33" s="27" t="n">
        <v>8.89</v>
      </c>
      <c r="V33" s="27" t="n">
        <v>22.5</v>
      </c>
      <c r="W33" s="8" t="n">
        <f aca="false">IF($A33="P2017",1,0)</f>
        <v>0</v>
      </c>
      <c r="X33" s="8" t="n">
        <f aca="false">IF($A33="L2017",1,0)</f>
        <v>0</v>
      </c>
      <c r="Y33" s="8" t="n">
        <f aca="false">IF($A33="E2019",1,0)</f>
        <v>0</v>
      </c>
      <c r="Z33" s="8" t="n">
        <f aca="false">IF($A33="P2022",1,0)</f>
        <v>1</v>
      </c>
      <c r="AA33" s="8" t="n">
        <f aca="false">IF($A33="L2022",1,0)</f>
        <v>0</v>
      </c>
      <c r="AB33" s="8" t="n">
        <f aca="false">IF($A33="E2024",1,0)</f>
        <v>0</v>
      </c>
      <c r="AC33" s="8" t="n">
        <f aca="false">IF($A33="L2024",1,0)</f>
        <v>0</v>
      </c>
      <c r="AD33" s="11" t="n">
        <f aca="false">Coefficients!$D$5*(E33-5)+Coefficients!$D$6*(F33-5)+Coefficients!$D$7*(G33-5)+Coefficients!$D$8*(H33-5)+Coefficients!$D$9*(I33-5)+Coefficients!$D$10*(J33-5)+Coefficients!$D$11*(K33-5)+Coefficients!$D$12*(L33-5)+Coefficients!$D$13*(M33-5)+Coefficients!$D$14*(N33-5)+Coefficients!$D$16*P33+INDEX(Coefficients!$D$21:$D$27,MATCH(A33,Coefficients!$A$21:$A$27,0))</f>
        <v>-0.560186928641603</v>
      </c>
      <c r="AE33" s="17" t="n">
        <f aca="false">O33-AD33</f>
        <v>0.0450516788197906</v>
      </c>
      <c r="AF33" s="11" t="n">
        <f aca="false">INDEX(Coefficients!$D$37:$D$50,MATCH(B33,Coefficients!$A$37:$A$50,0))</f>
        <v>0.0992840489715974</v>
      </c>
      <c r="AG33" s="17" t="n">
        <f aca="false">AE33-AF33</f>
        <v>-0.0542323701518069</v>
      </c>
    </row>
    <row r="34" customFormat="false" ht="15" hidden="false" customHeight="false" outlineLevel="0" collapsed="false">
      <c r="A34" s="23" t="s">
        <v>140</v>
      </c>
      <c r="B34" s="23" t="s">
        <v>87</v>
      </c>
      <c r="C34" s="23" t="s">
        <v>142</v>
      </c>
      <c r="D34" s="23" t="s">
        <v>85</v>
      </c>
      <c r="E34" s="27" t="n">
        <v>1</v>
      </c>
      <c r="F34" s="27" t="n">
        <v>1.55</v>
      </c>
      <c r="G34" s="27" t="n">
        <v>1</v>
      </c>
      <c r="H34" s="27" t="n">
        <v>3.33</v>
      </c>
      <c r="I34" s="27" t="n">
        <v>1</v>
      </c>
      <c r="J34" s="27" t="n">
        <v>9</v>
      </c>
      <c r="K34" s="27" t="n">
        <v>2</v>
      </c>
      <c r="L34" s="27" t="n">
        <v>7.75</v>
      </c>
      <c r="M34" s="27" t="n">
        <v>6.67</v>
      </c>
      <c r="N34" s="27" t="n">
        <v>5</v>
      </c>
      <c r="O34" s="11" t="n">
        <f aca="false">Votes!I34</f>
        <v>-0.568321928854536</v>
      </c>
      <c r="P34" s="11" t="n">
        <f aca="false">Votes!K34</f>
        <v>-0.375322593454855</v>
      </c>
      <c r="Q34" s="23" t="n">
        <v>4</v>
      </c>
      <c r="R34" s="27" t="n">
        <v>4</v>
      </c>
      <c r="S34" s="27" t="n">
        <v>7.87</v>
      </c>
      <c r="T34" s="27" t="n">
        <v>4.5</v>
      </c>
      <c r="U34" s="27" t="n">
        <v>22.98</v>
      </c>
      <c r="V34" s="27" t="n">
        <v>7</v>
      </c>
      <c r="W34" s="8" t="n">
        <f aca="false">IF($A34="P2017",1,0)</f>
        <v>0</v>
      </c>
      <c r="X34" s="8" t="n">
        <f aca="false">IF($A34="L2017",1,0)</f>
        <v>0</v>
      </c>
      <c r="Y34" s="8" t="n">
        <f aca="false">IF($A34="E2019",1,0)</f>
        <v>0</v>
      </c>
      <c r="Z34" s="8" t="n">
        <f aca="false">IF($A34="P2022",1,0)</f>
        <v>1</v>
      </c>
      <c r="AA34" s="8" t="n">
        <f aca="false">IF($A34="L2022",1,0)</f>
        <v>0</v>
      </c>
      <c r="AB34" s="8" t="n">
        <f aca="false">IF($A34="E2024",1,0)</f>
        <v>0</v>
      </c>
      <c r="AC34" s="8" t="n">
        <f aca="false">IF($A34="L2024",1,0)</f>
        <v>0</v>
      </c>
      <c r="AD34" s="11" t="n">
        <f aca="false">Coefficients!$D$5*(E34-5)+Coefficients!$D$6*(F34-5)+Coefficients!$D$7*(G34-5)+Coefficients!$D$8*(H34-5)+Coefficients!$D$9*(I34-5)+Coefficients!$D$10*(J34-5)+Coefficients!$D$11*(K34-5)+Coefficients!$D$12*(L34-5)+Coefficients!$D$13*(M34-5)+Coefficients!$D$14*(N34-5)+Coefficients!$D$16*P34+INDEX(Coefficients!$D$21:$D$27,MATCH(A34,Coefficients!$A$21:$A$27,0))</f>
        <v>-1.08908074727222</v>
      </c>
      <c r="AE34" s="17" t="n">
        <f aca="false">O34-AD34</f>
        <v>0.520758818417684</v>
      </c>
      <c r="AF34" s="11" t="n">
        <f aca="false">INDEX(Coefficients!$D$37:$D$50,MATCH(B34,Coefficients!$A$37:$A$50,0))</f>
        <v>0.17716643432396</v>
      </c>
      <c r="AG34" s="17" t="n">
        <f aca="false">AE34-AF34</f>
        <v>0.343592384093724</v>
      </c>
    </row>
    <row r="35" customFormat="false" ht="15" hidden="false" customHeight="false" outlineLevel="0" collapsed="false">
      <c r="A35" s="23" t="s">
        <v>140</v>
      </c>
      <c r="B35" s="23" t="s">
        <v>102</v>
      </c>
      <c r="C35" s="23" t="s">
        <v>142</v>
      </c>
      <c r="D35" s="23" t="s">
        <v>97</v>
      </c>
      <c r="E35" s="27" t="n">
        <v>8.5</v>
      </c>
      <c r="F35" s="27" t="n">
        <v>9.67</v>
      </c>
      <c r="G35" s="27" t="n">
        <v>6</v>
      </c>
      <c r="H35" s="27" t="n">
        <v>1.06</v>
      </c>
      <c r="I35" s="27" t="n">
        <v>9</v>
      </c>
      <c r="J35" s="27" t="n">
        <v>2.11</v>
      </c>
      <c r="K35" s="27" t="n">
        <v>9.5</v>
      </c>
      <c r="L35" s="27" t="n">
        <v>1.67</v>
      </c>
      <c r="M35" s="27" t="n">
        <v>2.17</v>
      </c>
      <c r="N35" s="27" t="n">
        <v>5</v>
      </c>
      <c r="O35" s="11" t="n">
        <f aca="false">Votes!I35</f>
        <v>-1.70080331018822</v>
      </c>
      <c r="P35" s="11" t="n">
        <f aca="false">Votes!K35</f>
        <v>-1.65637116158935</v>
      </c>
      <c r="Q35" s="23" t="n">
        <v>3</v>
      </c>
      <c r="R35" s="27" t="n">
        <v>18.16</v>
      </c>
      <c r="S35" s="27" t="n">
        <v>27.24</v>
      </c>
      <c r="T35" s="27" t="n">
        <v>16</v>
      </c>
      <c r="U35" s="27" t="n">
        <v>9.8</v>
      </c>
      <c r="V35" s="27" t="n">
        <v>21</v>
      </c>
      <c r="W35" s="8" t="n">
        <f aca="false">IF($A35="P2017",1,0)</f>
        <v>0</v>
      </c>
      <c r="X35" s="8" t="n">
        <f aca="false">IF($A35="L2017",1,0)</f>
        <v>0</v>
      </c>
      <c r="Y35" s="8" t="n">
        <f aca="false">IF($A35="E2019",1,0)</f>
        <v>0</v>
      </c>
      <c r="Z35" s="8" t="n">
        <f aca="false">IF($A35="P2022",1,0)</f>
        <v>1</v>
      </c>
      <c r="AA35" s="8" t="n">
        <f aca="false">IF($A35="L2022",1,0)</f>
        <v>0</v>
      </c>
      <c r="AB35" s="8" t="n">
        <f aca="false">IF($A35="E2024",1,0)</f>
        <v>0</v>
      </c>
      <c r="AC35" s="8" t="n">
        <f aca="false">IF($A35="L2024",1,0)</f>
        <v>0</v>
      </c>
      <c r="AD35" s="11" t="n">
        <f aca="false">Coefficients!$D$5*(E35-5)+Coefficients!$D$6*(F35-5)+Coefficients!$D$7*(G35-5)+Coefficients!$D$8*(H35-5)+Coefficients!$D$9*(I35-5)+Coefficients!$D$10*(J35-5)+Coefficients!$D$11*(K35-5)+Coefficients!$D$12*(L35-5)+Coefficients!$D$13*(M35-5)+Coefficients!$D$14*(N35-5)+Coefficients!$D$16*P35+INDEX(Coefficients!$D$21:$D$27,MATCH(A35,Coefficients!$A$21:$A$27,0))</f>
        <v>-1.76152135388041</v>
      </c>
      <c r="AE35" s="17" t="n">
        <f aca="false">O35-AD35</f>
        <v>0.0607180436921937</v>
      </c>
      <c r="AF35" s="11" t="n">
        <f aca="false">INDEX(Coefficients!$D$37:$D$50,MATCH(B35,Coefficients!$A$37:$A$50,0))</f>
        <v>-0.070706479951577</v>
      </c>
      <c r="AG35" s="17" t="n">
        <f aca="false">AE35-AF35</f>
        <v>0.131424523643771</v>
      </c>
    </row>
    <row r="36" customFormat="false" ht="15" hidden="false" customHeight="false" outlineLevel="0" collapsed="false">
      <c r="A36" s="23" t="s">
        <v>140</v>
      </c>
      <c r="B36" s="23" t="s">
        <v>96</v>
      </c>
      <c r="C36" s="23" t="s">
        <v>142</v>
      </c>
      <c r="D36" s="23" t="s">
        <v>97</v>
      </c>
      <c r="E36" s="27" t="n">
        <v>7.33</v>
      </c>
      <c r="F36" s="27" t="n">
        <v>8.36</v>
      </c>
      <c r="G36" s="27" t="n">
        <v>7.5</v>
      </c>
      <c r="H36" s="27" t="n">
        <v>7.12</v>
      </c>
      <c r="I36" s="27" t="n">
        <v>7</v>
      </c>
      <c r="J36" s="27" t="n">
        <v>2.6</v>
      </c>
      <c r="K36" s="27" t="n">
        <v>7.83</v>
      </c>
      <c r="L36" s="27" t="n">
        <v>4</v>
      </c>
      <c r="M36" s="27" t="n">
        <v>2.67</v>
      </c>
      <c r="N36" s="27" t="n">
        <v>7</v>
      </c>
      <c r="O36" s="11" t="n">
        <f aca="false">Votes!I36</f>
        <v>-2.09296793758771</v>
      </c>
      <c r="P36" s="11" t="n">
        <f aca="false">Votes!K36</f>
        <v>-2.04853578898883</v>
      </c>
      <c r="Q36" s="23" t="n">
        <v>3</v>
      </c>
      <c r="R36" s="27" t="n">
        <v>19.33</v>
      </c>
      <c r="S36" s="27" t="n">
        <v>28.55</v>
      </c>
      <c r="T36" s="27" t="n">
        <v>14.5</v>
      </c>
      <c r="U36" s="27" t="n">
        <v>3.74</v>
      </c>
      <c r="V36" s="27" t="n">
        <v>23</v>
      </c>
      <c r="W36" s="8" t="n">
        <f aca="false">IF($A36="P2017",1,0)</f>
        <v>0</v>
      </c>
      <c r="X36" s="8" t="n">
        <f aca="false">IF($A36="L2017",1,0)</f>
        <v>0</v>
      </c>
      <c r="Y36" s="8" t="n">
        <f aca="false">IF($A36="E2019",1,0)</f>
        <v>0</v>
      </c>
      <c r="Z36" s="8" t="n">
        <f aca="false">IF($A36="P2022",1,0)</f>
        <v>1</v>
      </c>
      <c r="AA36" s="8" t="n">
        <f aca="false">IF($A36="L2022",1,0)</f>
        <v>0</v>
      </c>
      <c r="AB36" s="8" t="n">
        <f aca="false">IF($A36="E2024",1,0)</f>
        <v>0</v>
      </c>
      <c r="AC36" s="8" t="n">
        <f aca="false">IF($A36="L2024",1,0)</f>
        <v>0</v>
      </c>
      <c r="AD36" s="11" t="n">
        <f aca="false">Coefficients!$D$5*(E36-5)+Coefficients!$D$6*(F36-5)+Coefficients!$D$7*(G36-5)+Coefficients!$D$8*(H36-5)+Coefficients!$D$9*(I36-5)+Coefficients!$D$10*(J36-5)+Coefficients!$D$11*(K36-5)+Coefficients!$D$12*(L36-5)+Coefficients!$D$13*(M36-5)+Coefficients!$D$14*(N36-5)+Coefficients!$D$16*P36+INDEX(Coefficients!$D$21:$D$27,MATCH(A36,Coefficients!$A$21:$A$27,0))</f>
        <v>-1.97028271358929</v>
      </c>
      <c r="AE36" s="17" t="n">
        <f aca="false">O36-AD36</f>
        <v>-0.122685223998419</v>
      </c>
      <c r="AF36" s="11" t="n">
        <f aca="false">INDEX(Coefficients!$D$37:$D$50,MATCH(B36,Coefficients!$A$37:$A$50,0))</f>
        <v>0.0939910574782023</v>
      </c>
      <c r="AG36" s="17" t="n">
        <f aca="false">AE36-AF36</f>
        <v>-0.216676281476622</v>
      </c>
    </row>
    <row r="37" customFormat="false" ht="15" hidden="false" customHeight="false" outlineLevel="0" collapsed="false">
      <c r="A37" s="23" t="s">
        <v>140</v>
      </c>
      <c r="B37" s="23" t="s">
        <v>90</v>
      </c>
      <c r="C37" s="23" t="s">
        <v>142</v>
      </c>
      <c r="D37" s="23" t="s">
        <v>85</v>
      </c>
      <c r="E37" s="27" t="n">
        <v>1.33</v>
      </c>
      <c r="F37" s="27" t="n">
        <v>1.6</v>
      </c>
      <c r="G37" s="27" t="n">
        <v>1.5</v>
      </c>
      <c r="H37" s="27" t="n">
        <v>8.67</v>
      </c>
      <c r="I37" s="27" t="n">
        <v>2</v>
      </c>
      <c r="J37" s="27" t="n">
        <v>8.6</v>
      </c>
      <c r="K37" s="27" t="n">
        <v>2.17</v>
      </c>
      <c r="L37" s="27" t="n">
        <v>9.25</v>
      </c>
      <c r="M37" s="27" t="n">
        <v>8</v>
      </c>
      <c r="N37" s="27" t="n">
        <v>7</v>
      </c>
      <c r="O37" s="11" t="n">
        <f aca="false">Votes!I37</f>
        <v>-2.12390494261232</v>
      </c>
      <c r="P37" s="11" t="n">
        <f aca="false">Votes!K37</f>
        <v>-1.93090560721264</v>
      </c>
      <c r="Q37" s="23" t="n">
        <v>4</v>
      </c>
      <c r="R37" s="27" t="n">
        <v>3.67</v>
      </c>
      <c r="S37" s="27" t="n">
        <v>7.82</v>
      </c>
      <c r="T37" s="27" t="n">
        <v>4</v>
      </c>
      <c r="U37" s="27" t="n">
        <v>17.64</v>
      </c>
      <c r="V37" s="27" t="n">
        <v>6</v>
      </c>
      <c r="W37" s="8" t="n">
        <f aca="false">IF($A37="P2017",1,0)</f>
        <v>0</v>
      </c>
      <c r="X37" s="8" t="n">
        <f aca="false">IF($A37="L2017",1,0)</f>
        <v>0</v>
      </c>
      <c r="Y37" s="8" t="n">
        <f aca="false">IF($A37="E2019",1,0)</f>
        <v>0</v>
      </c>
      <c r="Z37" s="8" t="n">
        <f aca="false">IF($A37="P2022",1,0)</f>
        <v>1</v>
      </c>
      <c r="AA37" s="8" t="n">
        <f aca="false">IF($A37="L2022",1,0)</f>
        <v>0</v>
      </c>
      <c r="AB37" s="8" t="n">
        <f aca="false">IF($A37="E2024",1,0)</f>
        <v>0</v>
      </c>
      <c r="AC37" s="8" t="n">
        <f aca="false">IF($A37="L2024",1,0)</f>
        <v>0</v>
      </c>
      <c r="AD37" s="11" t="n">
        <f aca="false">Coefficients!$D$5*(E37-5)+Coefficients!$D$6*(F37-5)+Coefficients!$D$7*(G37-5)+Coefficients!$D$8*(H37-5)+Coefficients!$D$9*(I37-5)+Coefficients!$D$10*(J37-5)+Coefficients!$D$11*(K37-5)+Coefficients!$D$12*(L37-5)+Coefficients!$D$13*(M37-5)+Coefficients!$D$14*(N37-5)+Coefficients!$D$16*P37+INDEX(Coefficients!$D$21:$D$27,MATCH(A37,Coefficients!$A$21:$A$27,0))</f>
        <v>-2.10771857944597</v>
      </c>
      <c r="AE37" s="17" t="n">
        <f aca="false">O37-AD37</f>
        <v>-0.0161863631663506</v>
      </c>
      <c r="AF37" s="11" t="n">
        <f aca="false">INDEX(Coefficients!$D$37:$D$50,MATCH(B37,Coefficients!$A$37:$A$50,0))</f>
        <v>0.0140088123179725</v>
      </c>
      <c r="AG37" s="17" t="n">
        <f aca="false">AE37-AF37</f>
        <v>-0.030195175484323</v>
      </c>
    </row>
    <row r="38" customFormat="false" ht="15" hidden="false" customHeight="false" outlineLevel="0" collapsed="false">
      <c r="A38" s="23" t="s">
        <v>140</v>
      </c>
      <c r="B38" s="23" t="s">
        <v>88</v>
      </c>
      <c r="C38" s="23" t="s">
        <v>142</v>
      </c>
      <c r="D38" s="23" t="s">
        <v>85</v>
      </c>
      <c r="E38" s="27" t="n">
        <v>1</v>
      </c>
      <c r="F38" s="27" t="n">
        <v>3.09</v>
      </c>
      <c r="G38" s="27" t="n">
        <v>1</v>
      </c>
      <c r="H38" s="27" t="n">
        <v>3.52</v>
      </c>
      <c r="I38" s="27" t="n">
        <v>1.5</v>
      </c>
      <c r="J38" s="27" t="n">
        <v>9</v>
      </c>
      <c r="K38" s="27" t="n">
        <v>2.83</v>
      </c>
      <c r="L38" s="27" t="n">
        <v>6</v>
      </c>
      <c r="M38" s="27" t="n">
        <v>5.67</v>
      </c>
      <c r="N38" s="27" t="n">
        <v>4.5</v>
      </c>
      <c r="O38" s="11" t="n">
        <f aca="false">Votes!I38</f>
        <v>-2.83128753623906</v>
      </c>
      <c r="P38" s="11" t="n">
        <f aca="false">Votes!K38</f>
        <v>-2.63828820083938</v>
      </c>
      <c r="Q38" s="23" t="n">
        <v>4</v>
      </c>
      <c r="R38" s="27" t="n">
        <v>4</v>
      </c>
      <c r="S38" s="27" t="n">
        <v>6.33</v>
      </c>
      <c r="T38" s="27" t="n">
        <v>4.5</v>
      </c>
      <c r="U38" s="27" t="n">
        <v>22.79</v>
      </c>
      <c r="V38" s="27" t="n">
        <v>6.5</v>
      </c>
      <c r="W38" s="8" t="n">
        <f aca="false">IF($A38="P2017",1,0)</f>
        <v>0</v>
      </c>
      <c r="X38" s="8" t="n">
        <f aca="false">IF($A38="L2017",1,0)</f>
        <v>0</v>
      </c>
      <c r="Y38" s="8" t="n">
        <f aca="false">IF($A38="E2019",1,0)</f>
        <v>0</v>
      </c>
      <c r="Z38" s="8" t="n">
        <f aca="false">IF($A38="P2022",1,0)</f>
        <v>1</v>
      </c>
      <c r="AA38" s="8" t="n">
        <f aca="false">IF($A38="L2022",1,0)</f>
        <v>0</v>
      </c>
      <c r="AB38" s="8" t="n">
        <f aca="false">IF($A38="E2024",1,0)</f>
        <v>0</v>
      </c>
      <c r="AC38" s="8" t="n">
        <f aca="false">IF($A38="L2024",1,0)</f>
        <v>0</v>
      </c>
      <c r="AD38" s="11" t="n">
        <f aca="false">Coefficients!$D$5*(E38-5)+Coefficients!$D$6*(F38-5)+Coefficients!$D$7*(G38-5)+Coefficients!$D$8*(H38-5)+Coefficients!$D$9*(I38-5)+Coefficients!$D$10*(J38-5)+Coefficients!$D$11*(K38-5)+Coefficients!$D$12*(L38-5)+Coefficients!$D$13*(M38-5)+Coefficients!$D$14*(N38-5)+Coefficients!$D$16*P38+INDEX(Coefficients!$D$21:$D$27,MATCH(A38,Coefficients!$A$21:$A$27,0))</f>
        <v>-2.70763239625017</v>
      </c>
      <c r="AE38" s="17" t="n">
        <f aca="false">O38-AD38</f>
        <v>-0.123655139988886</v>
      </c>
      <c r="AF38" s="11" t="n">
        <f aca="false">INDEX(Coefficients!$D$37:$D$50,MATCH(B38,Coefficients!$A$37:$A$50,0))</f>
        <v>-0.154270354181365</v>
      </c>
      <c r="AG38" s="17" t="n">
        <f aca="false">AE38-AF38</f>
        <v>0.0306152141924787</v>
      </c>
    </row>
    <row r="39" customFormat="false" ht="15" hidden="false" customHeight="false" outlineLevel="0" collapsed="false">
      <c r="A39" s="23" t="s">
        <v>140</v>
      </c>
      <c r="B39" s="23" t="s">
        <v>99</v>
      </c>
      <c r="C39" s="23" t="s">
        <v>142</v>
      </c>
      <c r="D39" s="23" t="s">
        <v>97</v>
      </c>
      <c r="E39" s="27" t="n">
        <v>6.5</v>
      </c>
      <c r="F39" s="27" t="n">
        <v>9.33</v>
      </c>
      <c r="G39" s="27" t="n">
        <v>5</v>
      </c>
      <c r="H39" s="27" t="n">
        <v>0.71</v>
      </c>
      <c r="I39" s="27" t="n">
        <v>6.5</v>
      </c>
      <c r="J39" s="27" t="n">
        <v>3.6</v>
      </c>
      <c r="K39" s="27" t="n">
        <v>9</v>
      </c>
      <c r="L39" s="27" t="n">
        <v>3</v>
      </c>
      <c r="M39" s="27" t="n">
        <v>3.5</v>
      </c>
      <c r="N39" s="27" t="n">
        <v>5</v>
      </c>
      <c r="O39" s="11" t="n">
        <f aca="false">Votes!I39</f>
        <v>-2.93250780624343</v>
      </c>
      <c r="P39" s="11" t="n">
        <f aca="false">Votes!K39</f>
        <v>-2.88807565764455</v>
      </c>
      <c r="Q39" s="23" t="n">
        <v>3</v>
      </c>
      <c r="R39" s="27" t="n">
        <v>20.16</v>
      </c>
      <c r="S39" s="27" t="n">
        <v>27.58</v>
      </c>
      <c r="T39" s="27" t="n">
        <v>17</v>
      </c>
      <c r="U39" s="27" t="n">
        <v>10.15</v>
      </c>
      <c r="V39" s="27" t="n">
        <v>23.5</v>
      </c>
      <c r="W39" s="8" t="n">
        <f aca="false">IF($A39="P2017",1,0)</f>
        <v>0</v>
      </c>
      <c r="X39" s="8" t="n">
        <f aca="false">IF($A39="L2017",1,0)</f>
        <v>0</v>
      </c>
      <c r="Y39" s="8" t="n">
        <f aca="false">IF($A39="E2019",1,0)</f>
        <v>0</v>
      </c>
      <c r="Z39" s="8" t="n">
        <f aca="false">IF($A39="P2022",1,0)</f>
        <v>1</v>
      </c>
      <c r="AA39" s="8" t="n">
        <f aca="false">IF($A39="L2022",1,0)</f>
        <v>0</v>
      </c>
      <c r="AB39" s="8" t="n">
        <f aca="false">IF($A39="E2024",1,0)</f>
        <v>0</v>
      </c>
      <c r="AC39" s="8" t="n">
        <f aca="false">IF($A39="L2024",1,0)</f>
        <v>0</v>
      </c>
      <c r="AD39" s="11" t="n">
        <f aca="false">Coefficients!$D$5*(E39-5)+Coefficients!$D$6*(F39-5)+Coefficients!$D$7*(G39-5)+Coefficients!$D$8*(H39-5)+Coefficients!$D$9*(I39-5)+Coefficients!$D$10*(J39-5)+Coefficients!$D$11*(K39-5)+Coefficients!$D$12*(L39-5)+Coefficients!$D$13*(M39-5)+Coefficients!$D$14*(N39-5)+Coefficients!$D$16*P39+INDEX(Coefficients!$D$21:$D$27,MATCH(A39,Coefficients!$A$21:$A$27,0))</f>
        <v>-2.69161393480221</v>
      </c>
      <c r="AE39" s="17" t="n">
        <f aca="false">O39-AD39</f>
        <v>-0.240893871441216</v>
      </c>
      <c r="AF39" s="11" t="n">
        <f aca="false">INDEX(Coefficients!$D$37:$D$50,MATCH(B39,Coefficients!$A$37:$A$50,0))</f>
        <v>-0.161983497544118</v>
      </c>
      <c r="AG39" s="17" t="n">
        <f aca="false">AE39-AF39</f>
        <v>-0.0789103738970975</v>
      </c>
    </row>
    <row r="40" customFormat="false" ht="15" hidden="false" customHeight="false" outlineLevel="0" collapsed="false">
      <c r="A40" s="23" t="s">
        <v>140</v>
      </c>
      <c r="B40" s="23" t="s">
        <v>92</v>
      </c>
      <c r="C40" s="23" t="s">
        <v>142</v>
      </c>
      <c r="D40" s="23" t="s">
        <v>85</v>
      </c>
      <c r="E40" s="27" t="n">
        <v>1.67</v>
      </c>
      <c r="F40" s="27" t="n">
        <v>3.18</v>
      </c>
      <c r="G40" s="27" t="n">
        <v>2</v>
      </c>
      <c r="H40" s="27" t="n">
        <v>8.79</v>
      </c>
      <c r="I40" s="27" t="n">
        <v>3</v>
      </c>
      <c r="J40" s="27" t="n">
        <v>7.8</v>
      </c>
      <c r="K40" s="27" t="n">
        <v>2.83</v>
      </c>
      <c r="L40" s="27" t="n">
        <v>6.75</v>
      </c>
      <c r="M40" s="27" t="n">
        <v>6.67</v>
      </c>
      <c r="N40" s="27" t="n">
        <v>7.67</v>
      </c>
      <c r="O40" s="11" t="n">
        <f aca="false">Votes!I40</f>
        <v>-3.09489955361038</v>
      </c>
      <c r="P40" s="11" t="n">
        <f aca="false">Votes!K40</f>
        <v>-2.9019002182107</v>
      </c>
      <c r="Q40" s="23" t="n">
        <v>4</v>
      </c>
      <c r="R40" s="27" t="n">
        <v>3.33</v>
      </c>
      <c r="S40" s="27" t="n">
        <v>6.24</v>
      </c>
      <c r="T40" s="27" t="n">
        <v>3.5</v>
      </c>
      <c r="U40" s="27" t="n">
        <v>17.52</v>
      </c>
      <c r="V40" s="27" t="n">
        <v>5</v>
      </c>
      <c r="W40" s="8" t="n">
        <f aca="false">IF($A40="P2017",1,0)</f>
        <v>0</v>
      </c>
      <c r="X40" s="8" t="n">
        <f aca="false">IF($A40="L2017",1,0)</f>
        <v>0</v>
      </c>
      <c r="Y40" s="8" t="n">
        <f aca="false">IF($A40="E2019",1,0)</f>
        <v>0</v>
      </c>
      <c r="Z40" s="8" t="n">
        <f aca="false">IF($A40="P2022",1,0)</f>
        <v>1</v>
      </c>
      <c r="AA40" s="8" t="n">
        <f aca="false">IF($A40="L2022",1,0)</f>
        <v>0</v>
      </c>
      <c r="AB40" s="8" t="n">
        <f aca="false">IF($A40="E2024",1,0)</f>
        <v>0</v>
      </c>
      <c r="AC40" s="8" t="n">
        <f aca="false">IF($A40="L2024",1,0)</f>
        <v>0</v>
      </c>
      <c r="AD40" s="11" t="n">
        <f aca="false">Coefficients!$D$5*(E40-5)+Coefficients!$D$6*(F40-5)+Coefficients!$D$7*(G40-5)+Coefficients!$D$8*(H40-5)+Coefficients!$D$9*(I40-5)+Coefficients!$D$10*(J40-5)+Coefficients!$D$11*(K40-5)+Coefficients!$D$12*(L40-5)+Coefficients!$D$13*(M40-5)+Coefficients!$D$14*(N40-5)+Coefficients!$D$16*P40+INDEX(Coefficients!$D$21:$D$27,MATCH(A40,Coefficients!$A$21:$A$27,0))</f>
        <v>-2.73053290258086</v>
      </c>
      <c r="AE40" s="17" t="n">
        <f aca="false">O40-AD40</f>
        <v>-0.36436665102952</v>
      </c>
      <c r="AF40" s="11" t="n">
        <f aca="false">INDEX(Coefficients!$D$37:$D$50,MATCH(B40,Coefficients!$A$37:$A$50,0))</f>
        <v>-0.136066900969572</v>
      </c>
      <c r="AG40" s="17" t="n">
        <f aca="false">AE40-AF40</f>
        <v>-0.228299750059947</v>
      </c>
    </row>
    <row r="41" customFormat="false" ht="15" hidden="false" customHeight="false" outlineLevel="0" collapsed="false">
      <c r="A41" s="23" t="s">
        <v>140</v>
      </c>
      <c r="B41" s="23" t="s">
        <v>84</v>
      </c>
      <c r="C41" s="23" t="s">
        <v>142</v>
      </c>
      <c r="D41" s="23" t="s">
        <v>85</v>
      </c>
      <c r="E41" s="27" t="n">
        <v>0</v>
      </c>
      <c r="F41" s="27" t="n">
        <v>0</v>
      </c>
      <c r="G41" s="27" t="n">
        <v>0</v>
      </c>
      <c r="H41" s="27" t="n">
        <v>2</v>
      </c>
      <c r="I41" s="27" t="n">
        <v>0.5</v>
      </c>
      <c r="J41" s="27" t="n">
        <v>10</v>
      </c>
      <c r="K41" s="27" t="n">
        <v>0.5</v>
      </c>
      <c r="L41" s="27" t="n">
        <v>6</v>
      </c>
      <c r="M41" s="27" t="n">
        <v>6</v>
      </c>
      <c r="N41" s="27" t="n">
        <v>3</v>
      </c>
      <c r="O41" s="11" t="n">
        <f aca="false">Votes!I41</f>
        <v>-3.37474084798674</v>
      </c>
      <c r="P41" s="11" t="n">
        <f aca="false">Votes!K41</f>
        <v>-3.18174151258706</v>
      </c>
      <c r="Q41" s="23" t="n">
        <v>4</v>
      </c>
      <c r="R41" s="27" t="n">
        <v>5</v>
      </c>
      <c r="S41" s="27" t="n">
        <v>9.42</v>
      </c>
      <c r="T41" s="27" t="n">
        <v>5.5</v>
      </c>
      <c r="U41" s="27" t="n">
        <v>24.31</v>
      </c>
      <c r="V41" s="27" t="n">
        <v>7.5</v>
      </c>
      <c r="W41" s="8" t="n">
        <f aca="false">IF($A41="P2017",1,0)</f>
        <v>0</v>
      </c>
      <c r="X41" s="8" t="n">
        <f aca="false">IF($A41="L2017",1,0)</f>
        <v>0</v>
      </c>
      <c r="Y41" s="8" t="n">
        <f aca="false">IF($A41="E2019",1,0)</f>
        <v>0</v>
      </c>
      <c r="Z41" s="8" t="n">
        <f aca="false">IF($A41="P2022",1,0)</f>
        <v>1</v>
      </c>
      <c r="AA41" s="8" t="n">
        <f aca="false">IF($A41="L2022",1,0)</f>
        <v>0</v>
      </c>
      <c r="AB41" s="8" t="n">
        <f aca="false">IF($A41="E2024",1,0)</f>
        <v>0</v>
      </c>
      <c r="AC41" s="8" t="n">
        <f aca="false">IF($A41="L2024",1,0)</f>
        <v>0</v>
      </c>
      <c r="AD41" s="11" t="n">
        <f aca="false">Coefficients!$D$5*(E41-5)+Coefficients!$D$6*(F41-5)+Coefficients!$D$7*(G41-5)+Coefficients!$D$8*(H41-5)+Coefficients!$D$9*(I41-5)+Coefficients!$D$10*(J41-5)+Coefficients!$D$11*(K41-5)+Coefficients!$D$12*(L41-5)+Coefficients!$D$13*(M41-5)+Coefficients!$D$14*(N41-5)+Coefficients!$D$16*P41+INDEX(Coefficients!$D$21:$D$27,MATCH(A41,Coefficients!$A$21:$A$27,0))</f>
        <v>-3.46194854838977</v>
      </c>
      <c r="AE41" s="17" t="n">
        <f aca="false">O41-AD41</f>
        <v>0.0872077004030265</v>
      </c>
      <c r="AF41" s="11" t="n">
        <f aca="false">INDEX(Coefficients!$D$37:$D$50,MATCH(B41,Coefficients!$A$37:$A$50,0))</f>
        <v>-0.0473037570116817</v>
      </c>
      <c r="AG41" s="17" t="n">
        <f aca="false">AE41-AF41</f>
        <v>0.134511457414708</v>
      </c>
    </row>
    <row r="42" customFormat="false" ht="15" hidden="false" customHeight="false" outlineLevel="0" collapsed="false">
      <c r="A42" s="23" t="s">
        <v>143</v>
      </c>
      <c r="B42" s="23" t="s">
        <v>94</v>
      </c>
      <c r="C42" s="23" t="s">
        <v>142</v>
      </c>
      <c r="D42" s="23" t="s">
        <v>95</v>
      </c>
      <c r="E42" s="27" t="n">
        <v>6.316</v>
      </c>
      <c r="F42" s="27" t="n">
        <v>5.545</v>
      </c>
      <c r="G42" s="27" t="n">
        <v>6.1</v>
      </c>
      <c r="H42" s="27" t="n">
        <v>9</v>
      </c>
      <c r="I42" s="27" t="n">
        <v>4.95</v>
      </c>
      <c r="J42" s="27" t="n">
        <v>3.92</v>
      </c>
      <c r="K42" s="27" t="n">
        <v>5.376</v>
      </c>
      <c r="L42" s="27" t="n">
        <v>5.5</v>
      </c>
      <c r="M42" s="27" t="n">
        <v>4.264</v>
      </c>
      <c r="N42" s="27" t="n">
        <v>8.136</v>
      </c>
      <c r="O42" s="11" t="n">
        <f aca="false">Votes!I42</f>
        <v>-1.4984047163892</v>
      </c>
      <c r="P42" s="11" t="n">
        <f aca="false">Votes!K42</f>
        <v>0</v>
      </c>
      <c r="Q42" s="23" t="n">
        <v>0</v>
      </c>
      <c r="R42" s="27" t="n">
        <v>0</v>
      </c>
      <c r="S42" s="27" t="n">
        <v>0</v>
      </c>
      <c r="T42" s="27" t="n">
        <v>0</v>
      </c>
      <c r="U42" s="27" t="n">
        <v>0</v>
      </c>
      <c r="V42" s="27" t="n">
        <v>0</v>
      </c>
      <c r="W42" s="8" t="n">
        <f aca="false">IF($A42="P2017",1,0)</f>
        <v>0</v>
      </c>
      <c r="X42" s="8" t="n">
        <f aca="false">IF($A42="L2017",1,0)</f>
        <v>0</v>
      </c>
      <c r="Y42" s="8" t="n">
        <f aca="false">IF($A42="E2019",1,0)</f>
        <v>0</v>
      </c>
      <c r="Z42" s="8" t="n">
        <f aca="false">IF($A42="P2022",1,0)</f>
        <v>0</v>
      </c>
      <c r="AA42" s="8" t="n">
        <f aca="false">IF($A42="L2022",1,0)</f>
        <v>1</v>
      </c>
      <c r="AB42" s="8" t="n">
        <f aca="false">IF($A42="E2024",1,0)</f>
        <v>0</v>
      </c>
      <c r="AC42" s="8" t="n">
        <f aca="false">IF($A42="L2024",1,0)</f>
        <v>0</v>
      </c>
      <c r="AD42" s="11" t="n">
        <f aca="false">Coefficients!$D$5*(E42-5)+Coefficients!$D$6*(F42-5)+Coefficients!$D$7*(G42-5)+Coefficients!$D$8*(H42-5)+Coefficients!$D$9*(I42-5)+Coefficients!$D$10*(J42-5)+Coefficients!$D$11*(K42-5)+Coefficients!$D$12*(L42-5)+Coefficients!$D$13*(M42-5)+Coefficients!$D$14*(N42-5)+Coefficients!$D$16*P42+INDEX(Coefficients!$D$21:$D$27,MATCH(A42,Coefficients!$A$21:$A$27,0))</f>
        <v>-1.55205312159311</v>
      </c>
      <c r="AE42" s="17" t="n">
        <f aca="false">O42-AD42</f>
        <v>0.0536484052039161</v>
      </c>
      <c r="AF42" s="11" t="n">
        <f aca="false">INDEX(Coefficients!$D$37:$D$50,MATCH(B42,Coefficients!$A$37:$A$50,0))</f>
        <v>-0.0529529317394688</v>
      </c>
      <c r="AG42" s="17" t="n">
        <f aca="false">AE42-AF42</f>
        <v>0.106601336943385</v>
      </c>
    </row>
    <row r="43" customFormat="false" ht="15" hidden="false" customHeight="false" outlineLevel="0" collapsed="false">
      <c r="A43" s="23" t="s">
        <v>143</v>
      </c>
      <c r="B43" s="23" t="s">
        <v>165</v>
      </c>
      <c r="C43" s="23" t="s">
        <v>142</v>
      </c>
      <c r="D43" s="23" t="s">
        <v>85</v>
      </c>
      <c r="E43" s="27" t="n">
        <v>1.146337</v>
      </c>
      <c r="F43" s="27" t="n">
        <v>1.909158</v>
      </c>
      <c r="G43" s="27" t="n">
        <v>1.21978</v>
      </c>
      <c r="H43" s="27" t="n">
        <v>5.025421</v>
      </c>
      <c r="I43" s="27" t="n">
        <v>1.485348</v>
      </c>
      <c r="J43" s="27" t="n">
        <v>8.772894</v>
      </c>
      <c r="K43" s="27" t="n">
        <v>2.213553</v>
      </c>
      <c r="L43" s="27" t="n">
        <v>7.736264</v>
      </c>
      <c r="M43" s="27" t="n">
        <v>6.822015</v>
      </c>
      <c r="N43" s="27" t="n">
        <v>5.662821</v>
      </c>
      <c r="O43" s="11" t="n">
        <f aca="false">Votes!I43</f>
        <v>-1.50204522218514</v>
      </c>
      <c r="P43" s="11" t="n">
        <f aca="false">Votes!K43</f>
        <v>-0.0446378812406123</v>
      </c>
      <c r="Q43" s="23" t="n">
        <v>1</v>
      </c>
      <c r="R43" s="27" t="n">
        <v>0</v>
      </c>
      <c r="S43" s="27" t="n">
        <v>0</v>
      </c>
      <c r="T43" s="27" t="n">
        <v>0</v>
      </c>
      <c r="U43" s="27" t="n">
        <v>2</v>
      </c>
      <c r="V43" s="27" t="n">
        <v>0.5</v>
      </c>
      <c r="W43" s="8" t="n">
        <f aca="false">IF($A43="P2017",1,0)</f>
        <v>0</v>
      </c>
      <c r="X43" s="8" t="n">
        <f aca="false">IF($A43="L2017",1,0)</f>
        <v>0</v>
      </c>
      <c r="Y43" s="8" t="n">
        <f aca="false">IF($A43="E2019",1,0)</f>
        <v>0</v>
      </c>
      <c r="Z43" s="8" t="n">
        <f aca="false">IF($A43="P2022",1,0)</f>
        <v>0</v>
      </c>
      <c r="AA43" s="8" t="n">
        <f aca="false">IF($A43="L2022",1,0)</f>
        <v>1</v>
      </c>
      <c r="AB43" s="8" t="n">
        <f aca="false">IF($A43="E2024",1,0)</f>
        <v>0</v>
      </c>
      <c r="AC43" s="8" t="n">
        <f aca="false">IF($A43="L2024",1,0)</f>
        <v>0</v>
      </c>
      <c r="AD43" s="11" t="n">
        <f aca="false">Coefficients!$D$5*(E43-5)+Coefficients!$D$6*(F43-5)+Coefficients!$D$7*(G43-5)+Coefficients!$D$8*(H43-5)+Coefficients!$D$9*(I43-5)+Coefficients!$D$10*(J43-5)+Coefficients!$D$11*(K43-5)+Coefficients!$D$12*(L43-5)+Coefficients!$D$13*(M43-5)+Coefficients!$D$14*(N43-5)+Coefficients!$D$16*P43+INDEX(Coefficients!$D$21:$D$27,MATCH(A43,Coefficients!$A$21:$A$27,0))</f>
        <v>-1.7938062793676</v>
      </c>
      <c r="AE43" s="17" t="n">
        <f aca="false">O43-AD43</f>
        <v>0.291761057182461</v>
      </c>
      <c r="AF43" s="11" t="n">
        <f aca="false">INDEX(Coefficients!$D$37:$D$50,MATCH(B43,Coefficients!$A$37:$A$50,0))</f>
        <v>0.291761057182461</v>
      </c>
      <c r="AG43" s="17" t="n">
        <f aca="false">AE43-AF43</f>
        <v>0</v>
      </c>
    </row>
    <row r="44" customFormat="false" ht="15" hidden="false" customHeight="false" outlineLevel="0" collapsed="false">
      <c r="A44" s="23" t="s">
        <v>143</v>
      </c>
      <c r="B44" s="23" t="s">
        <v>100</v>
      </c>
      <c r="C44" s="23" t="s">
        <v>142</v>
      </c>
      <c r="D44" s="23" t="s">
        <v>97</v>
      </c>
      <c r="E44" s="27" t="n">
        <v>4.33</v>
      </c>
      <c r="F44" s="27" t="n">
        <v>9.55</v>
      </c>
      <c r="G44" s="27" t="n">
        <v>3.5</v>
      </c>
      <c r="H44" s="27" t="n">
        <v>1.97</v>
      </c>
      <c r="I44" s="27" t="n">
        <v>7.5</v>
      </c>
      <c r="J44" s="27" t="n">
        <v>5.3</v>
      </c>
      <c r="K44" s="27" t="n">
        <v>8.83</v>
      </c>
      <c r="L44" s="27" t="n">
        <v>2.5</v>
      </c>
      <c r="M44" s="27" t="n">
        <v>2</v>
      </c>
      <c r="N44" s="27" t="n">
        <v>2.33</v>
      </c>
      <c r="O44" s="11" t="n">
        <f aca="false">Votes!I44</f>
        <v>-1.81952970104337</v>
      </c>
      <c r="P44" s="11" t="n">
        <f aca="false">Votes!K44</f>
        <v>-0.605214784586366</v>
      </c>
      <c r="Q44" s="23" t="n">
        <v>2</v>
      </c>
      <c r="R44" s="27" t="n">
        <v>15.83</v>
      </c>
      <c r="S44" s="27" t="n">
        <v>18.03</v>
      </c>
      <c r="T44" s="27" t="n">
        <v>13.5</v>
      </c>
      <c r="U44" s="27" t="n">
        <v>8.18</v>
      </c>
      <c r="V44" s="27" t="n">
        <v>16</v>
      </c>
      <c r="W44" s="8" t="n">
        <f aca="false">IF($A44="P2017",1,0)</f>
        <v>0</v>
      </c>
      <c r="X44" s="8" t="n">
        <f aca="false">IF($A44="L2017",1,0)</f>
        <v>0</v>
      </c>
      <c r="Y44" s="8" t="n">
        <f aca="false">IF($A44="E2019",1,0)</f>
        <v>0</v>
      </c>
      <c r="Z44" s="8" t="n">
        <f aca="false">IF($A44="P2022",1,0)</f>
        <v>0</v>
      </c>
      <c r="AA44" s="8" t="n">
        <f aca="false">IF($A44="L2022",1,0)</f>
        <v>1</v>
      </c>
      <c r="AB44" s="8" t="n">
        <f aca="false">IF($A44="E2024",1,0)</f>
        <v>0</v>
      </c>
      <c r="AC44" s="8" t="n">
        <f aca="false">IF($A44="L2024",1,0)</f>
        <v>0</v>
      </c>
      <c r="AD44" s="11" t="n">
        <f aca="false">Coefficients!$D$5*(E44-5)+Coefficients!$D$6*(F44-5)+Coefficients!$D$7*(G44-5)+Coefficients!$D$8*(H44-5)+Coefficients!$D$9*(I44-5)+Coefficients!$D$10*(J44-5)+Coefficients!$D$11*(K44-5)+Coefficients!$D$12*(L44-5)+Coefficients!$D$13*(M44-5)+Coefficients!$D$14*(N44-5)+Coefficients!$D$16*P44+INDEX(Coefficients!$D$21:$D$27,MATCH(A44,Coefficients!$A$21:$A$27,0))</f>
        <v>-1.73418026351897</v>
      </c>
      <c r="AE44" s="17" t="n">
        <f aca="false">O44-AD44</f>
        <v>-0.0853494375243991</v>
      </c>
      <c r="AF44" s="11" t="n">
        <f aca="false">INDEX(Coefficients!$D$37:$D$50,MATCH(B44,Coefficients!$A$37:$A$50,0))</f>
        <v>0.0992840489715974</v>
      </c>
      <c r="AG44" s="17" t="n">
        <f aca="false">AE44-AF44</f>
        <v>-0.184633486495996</v>
      </c>
    </row>
    <row r="45" customFormat="false" ht="15" hidden="false" customHeight="false" outlineLevel="0" collapsed="false">
      <c r="A45" s="23" t="s">
        <v>143</v>
      </c>
      <c r="B45" s="23" t="s">
        <v>96</v>
      </c>
      <c r="C45" s="23" t="s">
        <v>142</v>
      </c>
      <c r="D45" s="23" t="s">
        <v>97</v>
      </c>
      <c r="E45" s="27" t="n">
        <v>7.33</v>
      </c>
      <c r="F45" s="27" t="n">
        <v>8.36</v>
      </c>
      <c r="G45" s="27" t="n">
        <v>7.5</v>
      </c>
      <c r="H45" s="27" t="n">
        <v>7.12</v>
      </c>
      <c r="I45" s="27" t="n">
        <v>7</v>
      </c>
      <c r="J45" s="27" t="n">
        <v>2.6</v>
      </c>
      <c r="K45" s="27" t="n">
        <v>7.83</v>
      </c>
      <c r="L45" s="27" t="n">
        <v>4</v>
      </c>
      <c r="M45" s="27" t="n">
        <v>2.67</v>
      </c>
      <c r="N45" s="27" t="n">
        <v>7</v>
      </c>
      <c r="O45" s="11" t="n">
        <f aca="false">Votes!I45</f>
        <v>-2.32278153983354</v>
      </c>
      <c r="P45" s="11" t="n">
        <f aca="false">Votes!K45</f>
        <v>-1.10846662337653</v>
      </c>
      <c r="Q45" s="23" t="n">
        <v>2</v>
      </c>
      <c r="R45" s="27" t="n">
        <v>12.83</v>
      </c>
      <c r="S45" s="27" t="n">
        <v>19.22</v>
      </c>
      <c r="T45" s="27" t="n">
        <v>9.5</v>
      </c>
      <c r="U45" s="27" t="n">
        <v>3.03</v>
      </c>
      <c r="V45" s="27" t="n">
        <v>16.5</v>
      </c>
      <c r="W45" s="8" t="n">
        <f aca="false">IF($A45="P2017",1,0)</f>
        <v>0</v>
      </c>
      <c r="X45" s="8" t="n">
        <f aca="false">IF($A45="L2017",1,0)</f>
        <v>0</v>
      </c>
      <c r="Y45" s="8" t="n">
        <f aca="false">IF($A45="E2019",1,0)</f>
        <v>0</v>
      </c>
      <c r="Z45" s="8" t="n">
        <f aca="false">IF($A45="P2022",1,0)</f>
        <v>0</v>
      </c>
      <c r="AA45" s="8" t="n">
        <f aca="false">IF($A45="L2022",1,0)</f>
        <v>1</v>
      </c>
      <c r="AB45" s="8" t="n">
        <f aca="false">IF($A45="E2024",1,0)</f>
        <v>0</v>
      </c>
      <c r="AC45" s="8" t="n">
        <f aca="false">IF($A45="L2024",1,0)</f>
        <v>0</v>
      </c>
      <c r="AD45" s="11" t="n">
        <f aca="false">Coefficients!$D$5*(E45-5)+Coefficients!$D$6*(F45-5)+Coefficients!$D$7*(G45-5)+Coefficients!$D$8*(H45-5)+Coefficients!$D$9*(I45-5)+Coefficients!$D$10*(J45-5)+Coefficients!$D$11*(K45-5)+Coefficients!$D$12*(L45-5)+Coefficients!$D$13*(M45-5)+Coefficients!$D$14*(N45-5)+Coefficients!$D$16*P45+INDEX(Coefficients!$D$21:$D$27,MATCH(A45,Coefficients!$A$21:$A$27,0))</f>
        <v>-2.29342563753982</v>
      </c>
      <c r="AE45" s="17" t="n">
        <f aca="false">O45-AD45</f>
        <v>-0.0293559022937213</v>
      </c>
      <c r="AF45" s="11" t="n">
        <f aca="false">INDEX(Coefficients!$D$37:$D$50,MATCH(B45,Coefficients!$A$37:$A$50,0))</f>
        <v>0.0939910574782023</v>
      </c>
      <c r="AG45" s="17" t="n">
        <f aca="false">AE45-AF45</f>
        <v>-0.123346959771924</v>
      </c>
    </row>
    <row r="46" customFormat="false" ht="15" hidden="false" customHeight="false" outlineLevel="0" collapsed="false">
      <c r="A46" s="23" t="s">
        <v>143</v>
      </c>
      <c r="B46" s="23" t="s">
        <v>102</v>
      </c>
      <c r="C46" s="23" t="s">
        <v>142</v>
      </c>
      <c r="D46" s="23" t="s">
        <v>97</v>
      </c>
      <c r="E46" s="27" t="n">
        <v>8.5</v>
      </c>
      <c r="F46" s="27" t="n">
        <v>9.67</v>
      </c>
      <c r="G46" s="27" t="n">
        <v>6</v>
      </c>
      <c r="H46" s="27" t="n">
        <v>1.06</v>
      </c>
      <c r="I46" s="27" t="n">
        <v>9</v>
      </c>
      <c r="J46" s="27" t="n">
        <v>2.11</v>
      </c>
      <c r="K46" s="27" t="n">
        <v>9.5</v>
      </c>
      <c r="L46" s="27" t="n">
        <v>1.67</v>
      </c>
      <c r="M46" s="27" t="n">
        <v>2.17</v>
      </c>
      <c r="N46" s="27" t="n">
        <v>5</v>
      </c>
      <c r="O46" s="11" t="n">
        <f aca="false">Votes!I46</f>
        <v>-3.30196475487409</v>
      </c>
      <c r="P46" s="11" t="n">
        <f aca="false">Votes!K46</f>
        <v>-2.08764983841708</v>
      </c>
      <c r="Q46" s="23" t="n">
        <v>2</v>
      </c>
      <c r="R46" s="27" t="n">
        <v>11.66</v>
      </c>
      <c r="S46" s="27" t="n">
        <v>17.91</v>
      </c>
      <c r="T46" s="27" t="n">
        <v>11</v>
      </c>
      <c r="U46" s="27" t="n">
        <v>9.09</v>
      </c>
      <c r="V46" s="27" t="n">
        <v>14.5</v>
      </c>
      <c r="W46" s="8" t="n">
        <f aca="false">IF($A46="P2017",1,0)</f>
        <v>0</v>
      </c>
      <c r="X46" s="8" t="n">
        <f aca="false">IF($A46="L2017",1,0)</f>
        <v>0</v>
      </c>
      <c r="Y46" s="8" t="n">
        <f aca="false">IF($A46="E2019",1,0)</f>
        <v>0</v>
      </c>
      <c r="Z46" s="8" t="n">
        <f aca="false">IF($A46="P2022",1,0)</f>
        <v>0</v>
      </c>
      <c r="AA46" s="8" t="n">
        <f aca="false">IF($A46="L2022",1,0)</f>
        <v>1</v>
      </c>
      <c r="AB46" s="8" t="n">
        <f aca="false">IF($A46="E2024",1,0)</f>
        <v>0</v>
      </c>
      <c r="AC46" s="8" t="n">
        <f aca="false">IF($A46="L2024",1,0)</f>
        <v>0</v>
      </c>
      <c r="AD46" s="11" t="n">
        <f aca="false">Coefficients!$D$5*(E46-5)+Coefficients!$D$6*(F46-5)+Coefficients!$D$7*(G46-5)+Coefficients!$D$8*(H46-5)+Coefficients!$D$9*(I46-5)+Coefficients!$D$10*(J46-5)+Coefficients!$D$11*(K46-5)+Coefficients!$D$12*(L46-5)+Coefficients!$D$13*(M46-5)+Coefficients!$D$14*(N46-5)+Coefficients!$D$16*P46+INDEX(Coefficients!$D$21:$D$27,MATCH(A46,Coefficients!$A$21:$A$27,0))</f>
        <v>-3.17049404706229</v>
      </c>
      <c r="AE46" s="17" t="n">
        <f aca="false">O46-AD46</f>
        <v>-0.131470707811796</v>
      </c>
      <c r="AF46" s="11" t="n">
        <f aca="false">INDEX(Coefficients!$D$37:$D$50,MATCH(B46,Coefficients!$A$37:$A$50,0))</f>
        <v>-0.070706479951577</v>
      </c>
      <c r="AG46" s="17" t="n">
        <f aca="false">AE46-AF46</f>
        <v>-0.0607642278602195</v>
      </c>
    </row>
    <row r="47" customFormat="false" ht="15" hidden="false" customHeight="false" outlineLevel="0" collapsed="false">
      <c r="A47" s="23" t="s">
        <v>143</v>
      </c>
      <c r="B47" s="23" t="s">
        <v>84</v>
      </c>
      <c r="C47" s="23" t="s">
        <v>142</v>
      </c>
      <c r="D47" s="23" t="s">
        <v>85</v>
      </c>
      <c r="E47" s="27" t="n">
        <v>0</v>
      </c>
      <c r="F47" s="27" t="n">
        <v>0</v>
      </c>
      <c r="G47" s="27" t="n">
        <v>0</v>
      </c>
      <c r="H47" s="27" t="n">
        <v>2</v>
      </c>
      <c r="I47" s="27" t="n">
        <v>0.5</v>
      </c>
      <c r="J47" s="27" t="n">
        <v>10</v>
      </c>
      <c r="K47" s="27" t="n">
        <v>0.5</v>
      </c>
      <c r="L47" s="27" t="n">
        <v>6</v>
      </c>
      <c r="M47" s="27" t="n">
        <v>6</v>
      </c>
      <c r="N47" s="27" t="n">
        <v>3</v>
      </c>
      <c r="O47" s="11" t="n">
        <f aca="false">Votes!I47</f>
        <v>-4.58881568570837</v>
      </c>
      <c r="P47" s="11" t="n">
        <f aca="false">Votes!K47</f>
        <v>-3.13140834476384</v>
      </c>
      <c r="Q47" s="23" t="n">
        <v>1</v>
      </c>
      <c r="R47" s="27" t="n">
        <v>1.146337</v>
      </c>
      <c r="S47" s="27" t="n">
        <v>1.909158</v>
      </c>
      <c r="T47" s="27" t="n">
        <v>1.21978</v>
      </c>
      <c r="U47" s="27" t="n">
        <v>5.025421</v>
      </c>
      <c r="V47" s="27" t="n">
        <v>1.485348</v>
      </c>
      <c r="W47" s="8" t="n">
        <f aca="false">IF($A47="P2017",1,0)</f>
        <v>0</v>
      </c>
      <c r="X47" s="8" t="n">
        <f aca="false">IF($A47="L2017",1,0)</f>
        <v>0</v>
      </c>
      <c r="Y47" s="8" t="n">
        <f aca="false">IF($A47="E2019",1,0)</f>
        <v>0</v>
      </c>
      <c r="Z47" s="8" t="n">
        <f aca="false">IF($A47="P2022",1,0)</f>
        <v>0</v>
      </c>
      <c r="AA47" s="8" t="n">
        <f aca="false">IF($A47="L2022",1,0)</f>
        <v>1</v>
      </c>
      <c r="AB47" s="8" t="n">
        <f aca="false">IF($A47="E2024",1,0)</f>
        <v>0</v>
      </c>
      <c r="AC47" s="8" t="n">
        <f aca="false">IF($A47="L2024",1,0)</f>
        <v>0</v>
      </c>
      <c r="AD47" s="11" t="n">
        <f aca="false">Coefficients!$D$5*(E47-5)+Coefficients!$D$6*(F47-5)+Coefficients!$D$7*(G47-5)+Coefficients!$D$8*(H47-5)+Coefficients!$D$9*(I47-5)+Coefficients!$D$10*(J47-5)+Coefficients!$D$11*(K47-5)+Coefficients!$D$12*(L47-5)+Coefficients!$D$13*(M47-5)+Coefficients!$D$14*(N47-5)+Coefficients!$D$16*P47+INDEX(Coefficients!$D$21:$D$27,MATCH(A47,Coefficients!$A$21:$A$27,0))</f>
        <v>-4.48958219545046</v>
      </c>
      <c r="AE47" s="17" t="n">
        <f aca="false">O47-AD47</f>
        <v>-0.099233490257908</v>
      </c>
      <c r="AF47" s="11" t="n">
        <f aca="false">INDEX(Coefficients!$D$37:$D$50,MATCH(B47,Coefficients!$A$37:$A$50,0))</f>
        <v>-0.0473037570116817</v>
      </c>
      <c r="AG47" s="17" t="n">
        <f aca="false">AE47-AF47</f>
        <v>-0.0519297332462262</v>
      </c>
    </row>
    <row r="48" customFormat="false" ht="15" hidden="false" customHeight="false" outlineLevel="0" collapsed="false">
      <c r="A48" s="23" t="s">
        <v>145</v>
      </c>
      <c r="B48" s="23" t="s">
        <v>100</v>
      </c>
      <c r="C48" s="23" t="s">
        <v>142</v>
      </c>
      <c r="D48" s="23" t="s">
        <v>97</v>
      </c>
      <c r="E48" s="27" t="n">
        <v>4.33</v>
      </c>
      <c r="F48" s="27" t="n">
        <v>9.55</v>
      </c>
      <c r="G48" s="27" t="n">
        <v>3.5</v>
      </c>
      <c r="H48" s="27" t="n">
        <v>1.97</v>
      </c>
      <c r="I48" s="27" t="n">
        <v>7.5</v>
      </c>
      <c r="J48" s="27" t="n">
        <v>5.3</v>
      </c>
      <c r="K48" s="27" t="n">
        <v>8.83</v>
      </c>
      <c r="L48" s="27" t="n">
        <v>2.5</v>
      </c>
      <c r="M48" s="27" t="n">
        <v>2</v>
      </c>
      <c r="N48" s="27" t="n">
        <v>2.33</v>
      </c>
      <c r="O48" s="11" t="n">
        <f aca="false">Votes!I48</f>
        <v>-1.15742897746117</v>
      </c>
      <c r="P48" s="11" t="n">
        <f aca="false">Votes!K48</f>
        <v>-0.383468040240786</v>
      </c>
      <c r="Q48" s="23" t="n">
        <v>3</v>
      </c>
      <c r="R48" s="27" t="n">
        <v>20.83</v>
      </c>
      <c r="S48" s="27" t="n">
        <v>25.03</v>
      </c>
      <c r="T48" s="27" t="n">
        <v>18.5</v>
      </c>
      <c r="U48" s="27" t="n">
        <v>8.18</v>
      </c>
      <c r="V48" s="27" t="n">
        <v>19</v>
      </c>
      <c r="W48" s="8" t="n">
        <f aca="false">IF($A48="P2017",1,0)</f>
        <v>0</v>
      </c>
      <c r="X48" s="8" t="n">
        <f aca="false">IF($A48="L2017",1,0)</f>
        <v>0</v>
      </c>
      <c r="Y48" s="8" t="n">
        <f aca="false">IF($A48="E2019",1,0)</f>
        <v>0</v>
      </c>
      <c r="Z48" s="8" t="n">
        <f aca="false">IF($A48="P2022",1,0)</f>
        <v>0</v>
      </c>
      <c r="AA48" s="8" t="n">
        <f aca="false">IF($A48="L2022",1,0)</f>
        <v>0</v>
      </c>
      <c r="AB48" s="8" t="n">
        <f aca="false">IF($A48="E2024",1,0)</f>
        <v>1</v>
      </c>
      <c r="AC48" s="8" t="n">
        <f aca="false">IF($A48="L2024",1,0)</f>
        <v>0</v>
      </c>
      <c r="AD48" s="11" t="n">
        <f aca="false">Coefficients!$D$5*(E48-5)+Coefficients!$D$6*(F48-5)+Coefficients!$D$7*(G48-5)+Coefficients!$D$8*(H48-5)+Coefficients!$D$9*(I48-5)+Coefficients!$D$10*(J48-5)+Coefficients!$D$11*(K48-5)+Coefficients!$D$12*(L48-5)+Coefficients!$D$13*(M48-5)+Coefficients!$D$14*(N48-5)+Coefficients!$D$16*P48+INDEX(Coefficients!$D$21:$D$27,MATCH(A48,Coefficients!$A$21:$A$27,0))</f>
        <v>-1.38176249479117</v>
      </c>
      <c r="AE48" s="17" t="n">
        <f aca="false">O48-AD48</f>
        <v>0.224333517329995</v>
      </c>
      <c r="AF48" s="11" t="n">
        <f aca="false">INDEX(Coefficients!$D$37:$D$50,MATCH(B48,Coefficients!$A$37:$A$50,0))</f>
        <v>0.0992840489715974</v>
      </c>
      <c r="AG48" s="17" t="n">
        <f aca="false">AE48-AF48</f>
        <v>0.125049468358397</v>
      </c>
    </row>
    <row r="49" customFormat="false" ht="15" hidden="false" customHeight="false" outlineLevel="0" collapsed="false">
      <c r="A49" s="23" t="s">
        <v>145</v>
      </c>
      <c r="B49" s="23" t="s">
        <v>94</v>
      </c>
      <c r="C49" s="23" t="s">
        <v>142</v>
      </c>
      <c r="D49" s="23" t="s">
        <v>95</v>
      </c>
      <c r="E49" s="27" t="n">
        <v>6.316</v>
      </c>
      <c r="F49" s="27" t="n">
        <v>5.545</v>
      </c>
      <c r="G49" s="27" t="n">
        <v>6.1</v>
      </c>
      <c r="H49" s="27" t="n">
        <v>9</v>
      </c>
      <c r="I49" s="27" t="n">
        <v>4.95</v>
      </c>
      <c r="J49" s="27" t="n">
        <v>3.92</v>
      </c>
      <c r="K49" s="27" t="n">
        <v>5.376</v>
      </c>
      <c r="L49" s="27" t="n">
        <v>5.5</v>
      </c>
      <c r="M49" s="27" t="n">
        <v>4.264</v>
      </c>
      <c r="N49" s="27" t="n">
        <v>8.136</v>
      </c>
      <c r="O49" s="11" t="n">
        <f aca="false">Votes!I49</f>
        <v>-1.92218204218143</v>
      </c>
      <c r="P49" s="11" t="n">
        <f aca="false">Votes!K49</f>
        <v>0</v>
      </c>
      <c r="Q49" s="23" t="n">
        <v>0</v>
      </c>
      <c r="R49" s="27" t="n">
        <v>0</v>
      </c>
      <c r="S49" s="27" t="n">
        <v>0</v>
      </c>
      <c r="T49" s="27" t="n">
        <v>0</v>
      </c>
      <c r="U49" s="27" t="n">
        <v>0</v>
      </c>
      <c r="V49" s="27" t="n">
        <v>0</v>
      </c>
      <c r="W49" s="8" t="n">
        <f aca="false">IF($A49="P2017",1,0)</f>
        <v>0</v>
      </c>
      <c r="X49" s="8" t="n">
        <f aca="false">IF($A49="L2017",1,0)</f>
        <v>0</v>
      </c>
      <c r="Y49" s="8" t="n">
        <f aca="false">IF($A49="E2019",1,0)</f>
        <v>0</v>
      </c>
      <c r="Z49" s="8" t="n">
        <f aca="false">IF($A49="P2022",1,0)</f>
        <v>0</v>
      </c>
      <c r="AA49" s="8" t="n">
        <f aca="false">IF($A49="L2022",1,0)</f>
        <v>0</v>
      </c>
      <c r="AB49" s="8" t="n">
        <f aca="false">IF($A49="E2024",1,0)</f>
        <v>1</v>
      </c>
      <c r="AC49" s="8" t="n">
        <f aca="false">IF($A49="L2024",1,0)</f>
        <v>0</v>
      </c>
      <c r="AD49" s="11" t="n">
        <f aca="false">Coefficients!$D$5*(E49-5)+Coefficients!$D$6*(F49-5)+Coefficients!$D$7*(G49-5)+Coefficients!$D$8*(H49-5)+Coefficients!$D$9*(I49-5)+Coefficients!$D$10*(J49-5)+Coefficients!$D$11*(K49-5)+Coefficients!$D$12*(L49-5)+Coefficients!$D$13*(M49-5)+Coefficients!$D$14*(N49-5)+Coefficients!$D$16*P49+INDEX(Coefficients!$D$21:$D$27,MATCH(A49,Coefficients!$A$21:$A$27,0))</f>
        <v>-1.37521386678352</v>
      </c>
      <c r="AE49" s="17" t="n">
        <f aca="false">O49-AD49</f>
        <v>-0.54696817539791</v>
      </c>
      <c r="AF49" s="11" t="n">
        <f aca="false">INDEX(Coefficients!$D$37:$D$50,MATCH(B49,Coefficients!$A$37:$A$50,0))</f>
        <v>-0.0529529317394688</v>
      </c>
      <c r="AG49" s="17" t="n">
        <f aca="false">AE49-AF49</f>
        <v>-0.494015243658441</v>
      </c>
    </row>
    <row r="50" customFormat="false" ht="15" hidden="false" customHeight="false" outlineLevel="0" collapsed="false">
      <c r="A50" s="23" t="s">
        <v>145</v>
      </c>
      <c r="B50" s="23" t="s">
        <v>92</v>
      </c>
      <c r="C50" s="23" t="s">
        <v>142</v>
      </c>
      <c r="D50" s="23" t="s">
        <v>85</v>
      </c>
      <c r="E50" s="27" t="n">
        <v>1.67</v>
      </c>
      <c r="F50" s="27" t="n">
        <v>3.18</v>
      </c>
      <c r="G50" s="27" t="n">
        <v>2</v>
      </c>
      <c r="H50" s="27" t="n">
        <v>8.79</v>
      </c>
      <c r="I50" s="27" t="n">
        <v>3</v>
      </c>
      <c r="J50" s="27" t="n">
        <v>7.8</v>
      </c>
      <c r="K50" s="27" t="n">
        <v>2.83</v>
      </c>
      <c r="L50" s="27" t="n">
        <v>6.75</v>
      </c>
      <c r="M50" s="27" t="n">
        <v>6.67</v>
      </c>
      <c r="N50" s="27" t="n">
        <v>7.67</v>
      </c>
      <c r="O50" s="11" t="n">
        <f aca="false">Votes!I50</f>
        <v>-1.97630342728403</v>
      </c>
      <c r="P50" s="11" t="n">
        <f aca="false">Votes!K50</f>
        <v>-0.84576306832744</v>
      </c>
      <c r="Q50" s="23" t="n">
        <v>4</v>
      </c>
      <c r="R50" s="27" t="n">
        <v>3.33</v>
      </c>
      <c r="S50" s="27" t="n">
        <v>6.24</v>
      </c>
      <c r="T50" s="27" t="n">
        <v>3.5</v>
      </c>
      <c r="U50" s="27" t="n">
        <v>17.52</v>
      </c>
      <c r="V50" s="27" t="n">
        <v>5</v>
      </c>
      <c r="W50" s="8" t="n">
        <f aca="false">IF($A50="P2017",1,0)</f>
        <v>0</v>
      </c>
      <c r="X50" s="8" t="n">
        <f aca="false">IF($A50="L2017",1,0)</f>
        <v>0</v>
      </c>
      <c r="Y50" s="8" t="n">
        <f aca="false">IF($A50="E2019",1,0)</f>
        <v>0</v>
      </c>
      <c r="Z50" s="8" t="n">
        <f aca="false">IF($A50="P2022",1,0)</f>
        <v>0</v>
      </c>
      <c r="AA50" s="8" t="n">
        <f aca="false">IF($A50="L2022",1,0)</f>
        <v>0</v>
      </c>
      <c r="AB50" s="8" t="n">
        <f aca="false">IF($A50="E2024",1,0)</f>
        <v>1</v>
      </c>
      <c r="AC50" s="8" t="n">
        <f aca="false">IF($A50="L2024",1,0)</f>
        <v>0</v>
      </c>
      <c r="AD50" s="11" t="n">
        <f aca="false">Coefficients!$D$5*(E50-5)+Coefficients!$D$6*(F50-5)+Coefficients!$D$7*(G50-5)+Coefficients!$D$8*(H50-5)+Coefficients!$D$9*(I50-5)+Coefficients!$D$10*(J50-5)+Coefficients!$D$11*(K50-5)+Coefficients!$D$12*(L50-5)+Coefficients!$D$13*(M50-5)+Coefficients!$D$14*(N50-5)+Coefficients!$D$16*P50+INDEX(Coefficients!$D$21:$D$27,MATCH(A50,Coefficients!$A$21:$A$27,0))</f>
        <v>-1.9931367515134</v>
      </c>
      <c r="AE50" s="17" t="n">
        <f aca="false">O50-AD50</f>
        <v>0.0168333242293675</v>
      </c>
      <c r="AF50" s="11" t="n">
        <f aca="false">INDEX(Coefficients!$D$37:$D$50,MATCH(B50,Coefficients!$A$37:$A$50,0))</f>
        <v>-0.136066900969572</v>
      </c>
      <c r="AG50" s="17" t="n">
        <f aca="false">AE50-AF50</f>
        <v>0.15290022519894</v>
      </c>
    </row>
    <row r="51" customFormat="false" ht="15" hidden="false" customHeight="false" outlineLevel="0" collapsed="false">
      <c r="A51" s="23" t="s">
        <v>145</v>
      </c>
      <c r="B51" s="23" t="s">
        <v>87</v>
      </c>
      <c r="C51" s="23" t="s">
        <v>142</v>
      </c>
      <c r="D51" s="23" t="s">
        <v>85</v>
      </c>
      <c r="E51" s="27" t="n">
        <v>1</v>
      </c>
      <c r="F51" s="27" t="n">
        <v>1.55</v>
      </c>
      <c r="G51" s="27" t="n">
        <v>1</v>
      </c>
      <c r="H51" s="27" t="n">
        <v>3.33</v>
      </c>
      <c r="I51" s="27" t="n">
        <v>1</v>
      </c>
      <c r="J51" s="27" t="n">
        <v>9</v>
      </c>
      <c r="K51" s="27" t="n">
        <v>2</v>
      </c>
      <c r="L51" s="27" t="n">
        <v>7.75</v>
      </c>
      <c r="M51" s="27" t="n">
        <v>6.67</v>
      </c>
      <c r="N51" s="27" t="n">
        <v>5</v>
      </c>
      <c r="O51" s="11" t="n">
        <f aca="false">Votes!I51</f>
        <v>-2.3116174710596</v>
      </c>
      <c r="P51" s="11" t="n">
        <f aca="false">Votes!K51</f>
        <v>-1.181077112103</v>
      </c>
      <c r="Q51" s="23" t="n">
        <v>4</v>
      </c>
      <c r="R51" s="27" t="n">
        <v>4</v>
      </c>
      <c r="S51" s="27" t="n">
        <v>7.87</v>
      </c>
      <c r="T51" s="27" t="n">
        <v>4.5</v>
      </c>
      <c r="U51" s="27" t="n">
        <v>22.98</v>
      </c>
      <c r="V51" s="27" t="n">
        <v>7</v>
      </c>
      <c r="W51" s="8" t="n">
        <f aca="false">IF($A51="P2017",1,0)</f>
        <v>0</v>
      </c>
      <c r="X51" s="8" t="n">
        <f aca="false">IF($A51="L2017",1,0)</f>
        <v>0</v>
      </c>
      <c r="Y51" s="8" t="n">
        <f aca="false">IF($A51="E2019",1,0)</f>
        <v>0</v>
      </c>
      <c r="Z51" s="8" t="n">
        <f aca="false">IF($A51="P2022",1,0)</f>
        <v>0</v>
      </c>
      <c r="AA51" s="8" t="n">
        <f aca="false">IF($A51="L2022",1,0)</f>
        <v>0</v>
      </c>
      <c r="AB51" s="8" t="n">
        <f aca="false">IF($A51="E2024",1,0)</f>
        <v>1</v>
      </c>
      <c r="AC51" s="8" t="n">
        <f aca="false">IF($A51="L2024",1,0)</f>
        <v>0</v>
      </c>
      <c r="AD51" s="11" t="n">
        <f aca="false">Coefficients!$D$5*(E51-5)+Coefficients!$D$6*(F51-5)+Coefficients!$D$7*(G51-5)+Coefficients!$D$8*(H51-5)+Coefficients!$D$9*(I51-5)+Coefficients!$D$10*(J51-5)+Coefficients!$D$11*(K51-5)+Coefficients!$D$12*(L51-5)+Coefficients!$D$13*(M51-5)+Coefficients!$D$14*(N51-5)+Coefficients!$D$16*P51+INDEX(Coefficients!$D$21:$D$27,MATCH(A51,Coefficients!$A$21:$A$27,0))</f>
        <v>-2.61772321444283</v>
      </c>
      <c r="AE51" s="17" t="n">
        <f aca="false">O51-AD51</f>
        <v>0.306105743383232</v>
      </c>
      <c r="AF51" s="11" t="n">
        <f aca="false">INDEX(Coefficients!$D$37:$D$50,MATCH(B51,Coefficients!$A$37:$A$50,0))</f>
        <v>0.17716643432396</v>
      </c>
      <c r="AG51" s="17" t="n">
        <f aca="false">AE51-AF51</f>
        <v>0.128939309059272</v>
      </c>
    </row>
    <row r="52" customFormat="false" ht="15" hidden="false" customHeight="false" outlineLevel="0" collapsed="false">
      <c r="A52" s="23" t="s">
        <v>145</v>
      </c>
      <c r="B52" s="23" t="s">
        <v>96</v>
      </c>
      <c r="C52" s="23" t="s">
        <v>142</v>
      </c>
      <c r="D52" s="23" t="s">
        <v>97</v>
      </c>
      <c r="E52" s="27" t="n">
        <v>7.33</v>
      </c>
      <c r="F52" s="27" t="n">
        <v>8.36</v>
      </c>
      <c r="G52" s="27" t="n">
        <v>7.5</v>
      </c>
      <c r="H52" s="27" t="n">
        <v>7.12</v>
      </c>
      <c r="I52" s="27" t="n">
        <v>7</v>
      </c>
      <c r="J52" s="27" t="n">
        <v>2.6</v>
      </c>
      <c r="K52" s="27" t="n">
        <v>7.83</v>
      </c>
      <c r="L52" s="27" t="n">
        <v>4</v>
      </c>
      <c r="M52" s="27" t="n">
        <v>2.67</v>
      </c>
      <c r="N52" s="27" t="n">
        <v>7</v>
      </c>
      <c r="O52" s="11" t="n">
        <f aca="false">Votes!I52</f>
        <v>-2.62263289086605</v>
      </c>
      <c r="P52" s="11" t="n">
        <f aca="false">Votes!K52</f>
        <v>-1.84867195364566</v>
      </c>
      <c r="Q52" s="23" t="n">
        <v>3</v>
      </c>
      <c r="R52" s="27" t="n">
        <v>17.83</v>
      </c>
      <c r="S52" s="27" t="n">
        <v>26.22</v>
      </c>
      <c r="T52" s="27" t="n">
        <v>14.5</v>
      </c>
      <c r="U52" s="27" t="n">
        <v>3.03</v>
      </c>
      <c r="V52" s="27" t="n">
        <v>19.5</v>
      </c>
      <c r="W52" s="8" t="n">
        <f aca="false">IF($A52="P2017",1,0)</f>
        <v>0</v>
      </c>
      <c r="X52" s="8" t="n">
        <f aca="false">IF($A52="L2017",1,0)</f>
        <v>0</v>
      </c>
      <c r="Y52" s="8" t="n">
        <f aca="false">IF($A52="E2019",1,0)</f>
        <v>0</v>
      </c>
      <c r="Z52" s="8" t="n">
        <f aca="false">IF($A52="P2022",1,0)</f>
        <v>0</v>
      </c>
      <c r="AA52" s="8" t="n">
        <f aca="false">IF($A52="L2022",1,0)</f>
        <v>0</v>
      </c>
      <c r="AB52" s="8" t="n">
        <f aca="false">IF($A52="E2024",1,0)</f>
        <v>1</v>
      </c>
      <c r="AC52" s="8" t="n">
        <f aca="false">IF($A52="L2024",1,0)</f>
        <v>0</v>
      </c>
      <c r="AD52" s="11" t="n">
        <f aca="false">Coefficients!$D$5*(E52-5)+Coefficients!$D$6*(F52-5)+Coefficients!$D$7*(G52-5)+Coefficients!$D$8*(H52-5)+Coefficients!$D$9*(I52-5)+Coefficients!$D$10*(J52-5)+Coefficients!$D$11*(K52-5)+Coefficients!$D$12*(L52-5)+Coefficients!$D$13*(M52-5)+Coefficients!$D$14*(N52-5)+Coefficients!$D$16*P52+INDEX(Coefficients!$D$21:$D$27,MATCH(A52,Coefficients!$A$21:$A$27,0))</f>
        <v>-2.70267909974639</v>
      </c>
      <c r="AE52" s="17" t="n">
        <f aca="false">O52-AD52</f>
        <v>0.0800462088803426</v>
      </c>
      <c r="AF52" s="11" t="n">
        <f aca="false">INDEX(Coefficients!$D$37:$D$50,MATCH(B52,Coefficients!$A$37:$A$50,0))</f>
        <v>0.0939910574782023</v>
      </c>
      <c r="AG52" s="17" t="n">
        <f aca="false">AE52-AF52</f>
        <v>-0.0139448485978596</v>
      </c>
    </row>
    <row r="53" customFormat="false" ht="15" hidden="false" customHeight="false" outlineLevel="0" collapsed="false">
      <c r="A53" s="23" t="s">
        <v>145</v>
      </c>
      <c r="B53" s="23" t="s">
        <v>90</v>
      </c>
      <c r="C53" s="23" t="s">
        <v>142</v>
      </c>
      <c r="D53" s="23" t="s">
        <v>85</v>
      </c>
      <c r="E53" s="27" t="n">
        <v>1.33</v>
      </c>
      <c r="F53" s="27" t="n">
        <v>1.6</v>
      </c>
      <c r="G53" s="27" t="n">
        <v>1.5</v>
      </c>
      <c r="H53" s="27" t="n">
        <v>8.67</v>
      </c>
      <c r="I53" s="27" t="n">
        <v>2</v>
      </c>
      <c r="J53" s="27" t="n">
        <v>8.6</v>
      </c>
      <c r="K53" s="27" t="n">
        <v>2.17</v>
      </c>
      <c r="L53" s="27" t="n">
        <v>9.25</v>
      </c>
      <c r="M53" s="27" t="n">
        <v>8</v>
      </c>
      <c r="N53" s="27" t="n">
        <v>7</v>
      </c>
      <c r="O53" s="11" t="n">
        <f aca="false">Votes!I53</f>
        <v>-2.89830766673222</v>
      </c>
      <c r="P53" s="11" t="n">
        <f aca="false">Votes!K53</f>
        <v>-1.76776730777563</v>
      </c>
      <c r="Q53" s="23" t="n">
        <v>4</v>
      </c>
      <c r="R53" s="27" t="n">
        <v>3.67</v>
      </c>
      <c r="S53" s="27" t="n">
        <v>7.82</v>
      </c>
      <c r="T53" s="27" t="n">
        <v>4</v>
      </c>
      <c r="U53" s="27" t="n">
        <v>17.64</v>
      </c>
      <c r="V53" s="27" t="n">
        <v>6</v>
      </c>
      <c r="W53" s="8" t="n">
        <f aca="false">IF($A53="P2017",1,0)</f>
        <v>0</v>
      </c>
      <c r="X53" s="8" t="n">
        <f aca="false">IF($A53="L2017",1,0)</f>
        <v>0</v>
      </c>
      <c r="Y53" s="8" t="n">
        <f aca="false">IF($A53="E2019",1,0)</f>
        <v>0</v>
      </c>
      <c r="Z53" s="8" t="n">
        <f aca="false">IF($A53="P2022",1,0)</f>
        <v>0</v>
      </c>
      <c r="AA53" s="8" t="n">
        <f aca="false">IF($A53="L2022",1,0)</f>
        <v>0</v>
      </c>
      <c r="AB53" s="8" t="n">
        <f aca="false">IF($A53="E2024",1,0)</f>
        <v>1</v>
      </c>
      <c r="AC53" s="8" t="n">
        <f aca="false">IF($A53="L2024",1,0)</f>
        <v>0</v>
      </c>
      <c r="AD53" s="11" t="n">
        <f aca="false">Coefficients!$D$5*(E53-5)+Coefficients!$D$6*(F53-5)+Coefficients!$D$7*(G53-5)+Coefficients!$D$8*(H53-5)+Coefficients!$D$9*(I53-5)+Coefficients!$D$10*(J53-5)+Coefficients!$D$11*(K53-5)+Coefficients!$D$12*(L53-5)+Coefficients!$D$13*(M53-5)+Coefficients!$D$14*(N53-5)+Coefficients!$D$16*P53+INDEX(Coefficients!$D$21:$D$27,MATCH(A53,Coefficients!$A$21:$A$27,0))</f>
        <v>-2.86919415247584</v>
      </c>
      <c r="AE53" s="17" t="n">
        <f aca="false">O53-AD53</f>
        <v>-0.0291135142563763</v>
      </c>
      <c r="AF53" s="11" t="n">
        <f aca="false">INDEX(Coefficients!$D$37:$D$50,MATCH(B53,Coefficients!$A$37:$A$50,0))</f>
        <v>0.0140088123179725</v>
      </c>
      <c r="AG53" s="17" t="n">
        <f aca="false">AE53-AF53</f>
        <v>-0.0431223265743488</v>
      </c>
    </row>
    <row r="54" customFormat="false" ht="15" hidden="false" customHeight="false" outlineLevel="0" collapsed="false">
      <c r="A54" s="23" t="s">
        <v>145</v>
      </c>
      <c r="B54" s="23" t="s">
        <v>102</v>
      </c>
      <c r="C54" s="23" t="s">
        <v>142</v>
      </c>
      <c r="D54" s="23" t="s">
        <v>97</v>
      </c>
      <c r="E54" s="27" t="n">
        <v>8.5</v>
      </c>
      <c r="F54" s="27" t="n">
        <v>9.67</v>
      </c>
      <c r="G54" s="27" t="n">
        <v>6</v>
      </c>
      <c r="H54" s="27" t="n">
        <v>1.06</v>
      </c>
      <c r="I54" s="27" t="n">
        <v>9</v>
      </c>
      <c r="J54" s="27" t="n">
        <v>2.11</v>
      </c>
      <c r="K54" s="27" t="n">
        <v>9.5</v>
      </c>
      <c r="L54" s="27" t="n">
        <v>1.67</v>
      </c>
      <c r="M54" s="27" t="n">
        <v>2.17</v>
      </c>
      <c r="N54" s="27" t="n">
        <v>5</v>
      </c>
      <c r="O54" s="11" t="n">
        <f aca="false">Votes!I54</f>
        <v>-2.90475775741829</v>
      </c>
      <c r="P54" s="11" t="n">
        <f aca="false">Votes!K54</f>
        <v>-2.1307968201979</v>
      </c>
      <c r="Q54" s="23" t="n">
        <v>3</v>
      </c>
      <c r="R54" s="27" t="n">
        <v>16.66</v>
      </c>
      <c r="S54" s="27" t="n">
        <v>24.91</v>
      </c>
      <c r="T54" s="27" t="n">
        <v>16</v>
      </c>
      <c r="U54" s="27" t="n">
        <v>9.09</v>
      </c>
      <c r="V54" s="27" t="n">
        <v>17.5</v>
      </c>
      <c r="W54" s="8" t="n">
        <f aca="false">IF($A54="P2017",1,0)</f>
        <v>0</v>
      </c>
      <c r="X54" s="8" t="n">
        <f aca="false">IF($A54="L2017",1,0)</f>
        <v>0</v>
      </c>
      <c r="Y54" s="8" t="n">
        <f aca="false">IF($A54="E2019",1,0)</f>
        <v>0</v>
      </c>
      <c r="Z54" s="8" t="n">
        <f aca="false">IF($A54="P2022",1,0)</f>
        <v>0</v>
      </c>
      <c r="AA54" s="8" t="n">
        <f aca="false">IF($A54="L2022",1,0)</f>
        <v>0</v>
      </c>
      <c r="AB54" s="8" t="n">
        <f aca="false">IF($A54="E2024",1,0)</f>
        <v>1</v>
      </c>
      <c r="AC54" s="8" t="n">
        <f aca="false">IF($A54="L2024",1,0)</f>
        <v>0</v>
      </c>
      <c r="AD54" s="11" t="n">
        <f aca="false">Coefficients!$D$5*(E54-5)+Coefficients!$D$6*(F54-5)+Coefficients!$D$7*(G54-5)+Coefficients!$D$8*(H54-5)+Coefficients!$D$9*(I54-5)+Coefficients!$D$10*(J54-5)+Coefficients!$D$11*(K54-5)+Coefficients!$D$12*(L54-5)+Coefficients!$D$13*(M54-5)+Coefficients!$D$14*(N54-5)+Coefficients!$D$16*P54+INDEX(Coefficients!$D$21:$D$27,MATCH(A54,Coefficients!$A$21:$A$27,0))</f>
        <v>-3.02781846380282</v>
      </c>
      <c r="AE54" s="17" t="n">
        <f aca="false">O54-AD54</f>
        <v>0.123060706384534</v>
      </c>
      <c r="AF54" s="11" t="n">
        <f aca="false">INDEX(Coefficients!$D$37:$D$50,MATCH(B54,Coefficients!$A$37:$A$50,0))</f>
        <v>-0.070706479951577</v>
      </c>
      <c r="AG54" s="17" t="n">
        <f aca="false">AE54-AF54</f>
        <v>0.193767186336111</v>
      </c>
    </row>
    <row r="55" customFormat="false" ht="15" hidden="false" customHeight="false" outlineLevel="0" collapsed="false">
      <c r="A55" s="23" t="s">
        <v>145</v>
      </c>
      <c r="B55" s="23" t="s">
        <v>88</v>
      </c>
      <c r="C55" s="23" t="s">
        <v>142</v>
      </c>
      <c r="D55" s="23" t="s">
        <v>85</v>
      </c>
      <c r="E55" s="27" t="n">
        <v>1</v>
      </c>
      <c r="F55" s="27" t="n">
        <v>3.09</v>
      </c>
      <c r="G55" s="27" t="n">
        <v>1</v>
      </c>
      <c r="H55" s="27" t="n">
        <v>3.52</v>
      </c>
      <c r="I55" s="27" t="n">
        <v>1.5</v>
      </c>
      <c r="J55" s="27" t="n">
        <v>9</v>
      </c>
      <c r="K55" s="27" t="n">
        <v>2.83</v>
      </c>
      <c r="L55" s="27" t="n">
        <v>6</v>
      </c>
      <c r="M55" s="27" t="n">
        <v>5.67</v>
      </c>
      <c r="N55" s="27" t="n">
        <v>4.5</v>
      </c>
      <c r="O55" s="11" t="n">
        <f aca="false">Votes!I55</f>
        <v>-3.744915544393</v>
      </c>
      <c r="P55" s="11" t="n">
        <f aca="false">Votes!K55</f>
        <v>-2.61437518543641</v>
      </c>
      <c r="Q55" s="23" t="n">
        <v>4</v>
      </c>
      <c r="R55" s="27" t="n">
        <v>4</v>
      </c>
      <c r="S55" s="27" t="n">
        <v>6.33</v>
      </c>
      <c r="T55" s="27" t="n">
        <v>4.5</v>
      </c>
      <c r="U55" s="27" t="n">
        <v>22.79</v>
      </c>
      <c r="V55" s="27" t="n">
        <v>6.5</v>
      </c>
      <c r="W55" s="8" t="n">
        <f aca="false">IF($A55="P2017",1,0)</f>
        <v>0</v>
      </c>
      <c r="X55" s="8" t="n">
        <f aca="false">IF($A55="L2017",1,0)</f>
        <v>0</v>
      </c>
      <c r="Y55" s="8" t="n">
        <f aca="false">IF($A55="E2019",1,0)</f>
        <v>0</v>
      </c>
      <c r="Z55" s="8" t="n">
        <f aca="false">IF($A55="P2022",1,0)</f>
        <v>0</v>
      </c>
      <c r="AA55" s="8" t="n">
        <f aca="false">IF($A55="L2022",1,0)</f>
        <v>0</v>
      </c>
      <c r="AB55" s="8" t="n">
        <f aca="false">IF($A55="E2024",1,0)</f>
        <v>1</v>
      </c>
      <c r="AC55" s="8" t="n">
        <f aca="false">IF($A55="L2024",1,0)</f>
        <v>0</v>
      </c>
      <c r="AD55" s="11" t="n">
        <f aca="false">Coefficients!$D$5*(E55-5)+Coefficients!$D$6*(F55-5)+Coefficients!$D$7*(G55-5)+Coefficients!$D$8*(H55-5)+Coefficients!$D$9*(I55-5)+Coefficients!$D$10*(J55-5)+Coefficients!$D$11*(K55-5)+Coefficients!$D$12*(L55-5)+Coefficients!$D$13*(M55-5)+Coefficients!$D$14*(N55-5)+Coefficients!$D$16*P55+INDEX(Coefficients!$D$21:$D$27,MATCH(A55,Coefficients!$A$21:$A$27,0))</f>
        <v>-3.57934619867403</v>
      </c>
      <c r="AE55" s="17" t="n">
        <f aca="false">O55-AD55</f>
        <v>-0.165569345718966</v>
      </c>
      <c r="AF55" s="11" t="n">
        <f aca="false">INDEX(Coefficients!$D$37:$D$50,MATCH(B55,Coefficients!$A$37:$A$50,0))</f>
        <v>-0.154270354181365</v>
      </c>
      <c r="AG55" s="17" t="n">
        <f aca="false">AE55-AF55</f>
        <v>-0.0112989915376016</v>
      </c>
    </row>
    <row r="56" customFormat="false" ht="15" hidden="false" customHeight="false" outlineLevel="0" collapsed="false">
      <c r="A56" s="23" t="s">
        <v>145</v>
      </c>
      <c r="B56" s="23" t="s">
        <v>157</v>
      </c>
      <c r="C56" s="23" t="s">
        <v>142</v>
      </c>
      <c r="D56" s="23" t="s">
        <v>97</v>
      </c>
      <c r="E56" s="27" t="n">
        <v>5</v>
      </c>
      <c r="F56" s="27" t="n">
        <v>7</v>
      </c>
      <c r="G56" s="27" t="n">
        <v>5</v>
      </c>
      <c r="H56" s="27" t="n">
        <v>0</v>
      </c>
      <c r="I56" s="27" t="n">
        <v>3</v>
      </c>
      <c r="J56" s="27" t="n">
        <v>5</v>
      </c>
      <c r="K56" s="27" t="n">
        <v>7</v>
      </c>
      <c r="L56" s="27" t="n">
        <v>3</v>
      </c>
      <c r="M56" s="27" t="n">
        <v>3</v>
      </c>
      <c r="N56" s="27" t="n">
        <v>2</v>
      </c>
      <c r="O56" s="11" t="n">
        <f aca="false">Votes!I56</f>
        <v>-3.93651836283917</v>
      </c>
      <c r="P56" s="11" t="n">
        <f aca="false">Votes!K56</f>
        <v>-3.16255742561878</v>
      </c>
      <c r="Q56" s="23" t="n">
        <v>3</v>
      </c>
      <c r="R56" s="27" t="n">
        <v>20.16</v>
      </c>
      <c r="S56" s="27" t="n">
        <v>27.58</v>
      </c>
      <c r="T56" s="27" t="n">
        <v>17</v>
      </c>
      <c r="U56" s="27" t="n">
        <v>10.15</v>
      </c>
      <c r="V56" s="27" t="n">
        <v>23.5</v>
      </c>
      <c r="W56" s="8" t="n">
        <f aca="false">IF($A56="P2017",1,0)</f>
        <v>0</v>
      </c>
      <c r="X56" s="8" t="n">
        <f aca="false">IF($A56="L2017",1,0)</f>
        <v>0</v>
      </c>
      <c r="Y56" s="8" t="n">
        <f aca="false">IF($A56="E2019",1,0)</f>
        <v>0</v>
      </c>
      <c r="Z56" s="8" t="n">
        <f aca="false">IF($A56="P2022",1,0)</f>
        <v>0</v>
      </c>
      <c r="AA56" s="8" t="n">
        <f aca="false">IF($A56="L2022",1,0)</f>
        <v>0</v>
      </c>
      <c r="AB56" s="8" t="n">
        <f aca="false">IF($A56="E2024",1,0)</f>
        <v>1</v>
      </c>
      <c r="AC56" s="8" t="n">
        <f aca="false">IF($A56="L2024",1,0)</f>
        <v>0</v>
      </c>
      <c r="AD56" s="11" t="n">
        <f aca="false">Coefficients!$D$5*(E56-5)+Coefficients!$D$6*(F56-5)+Coefficients!$D$7*(G56-5)+Coefficients!$D$8*(H56-5)+Coefficients!$D$9*(I56-5)+Coefficients!$D$10*(J56-5)+Coefficients!$D$11*(K56-5)+Coefficients!$D$12*(L56-5)+Coefficients!$D$13*(M56-5)+Coefficients!$D$14*(N56-5)+Coefficients!$D$16*P56+INDEX(Coefficients!$D$21:$D$27,MATCH(A56,Coefficients!$A$21:$A$27,0))</f>
        <v>-4.04061620964538</v>
      </c>
      <c r="AE56" s="17" t="n">
        <f aca="false">O56-AD56</f>
        <v>0.104097846806213</v>
      </c>
      <c r="AF56" s="11" t="n">
        <f aca="false">INDEX(Coefficients!$D$37:$D$50,MATCH(B56,Coefficients!$A$37:$A$50,0))</f>
        <v>0.0136009086430849</v>
      </c>
      <c r="AG56" s="17" t="n">
        <f aca="false">AE56-AF56</f>
        <v>0.0904969381631286</v>
      </c>
    </row>
    <row r="57" customFormat="false" ht="15" hidden="false" customHeight="false" outlineLevel="0" collapsed="false">
      <c r="A57" s="23" t="s">
        <v>145</v>
      </c>
      <c r="B57" s="23" t="s">
        <v>84</v>
      </c>
      <c r="C57" s="23" t="s">
        <v>142</v>
      </c>
      <c r="D57" s="23" t="s">
        <v>85</v>
      </c>
      <c r="E57" s="27" t="n">
        <v>0</v>
      </c>
      <c r="F57" s="27" t="n">
        <v>0</v>
      </c>
      <c r="G57" s="27" t="n">
        <v>0</v>
      </c>
      <c r="H57" s="27" t="n">
        <v>2</v>
      </c>
      <c r="I57" s="27" t="n">
        <v>0.5</v>
      </c>
      <c r="J57" s="27" t="n">
        <v>10</v>
      </c>
      <c r="K57" s="27" t="n">
        <v>0.5</v>
      </c>
      <c r="L57" s="27" t="n">
        <v>6</v>
      </c>
      <c r="M57" s="27" t="n">
        <v>6</v>
      </c>
      <c r="N57" s="27" t="n">
        <v>3</v>
      </c>
      <c r="O57" s="11" t="n">
        <f aca="false">Votes!I57</f>
        <v>-5.04782110564386</v>
      </c>
      <c r="P57" s="11" t="n">
        <f aca="false">Votes!K57</f>
        <v>-3.91728074668727</v>
      </c>
      <c r="Q57" s="23" t="n">
        <v>4</v>
      </c>
      <c r="R57" s="27" t="n">
        <v>5</v>
      </c>
      <c r="S57" s="27" t="n">
        <v>9.42</v>
      </c>
      <c r="T57" s="27" t="n">
        <v>5.5</v>
      </c>
      <c r="U57" s="27" t="n">
        <v>24.31</v>
      </c>
      <c r="V57" s="27" t="n">
        <v>7.5</v>
      </c>
      <c r="W57" s="8" t="n">
        <f aca="false">IF($A57="P2017",1,0)</f>
        <v>0</v>
      </c>
      <c r="X57" s="8" t="n">
        <f aca="false">IF($A57="L2017",1,0)</f>
        <v>0</v>
      </c>
      <c r="Y57" s="8" t="n">
        <f aca="false">IF($A57="E2019",1,0)</f>
        <v>0</v>
      </c>
      <c r="Z57" s="8" t="n">
        <f aca="false">IF($A57="P2022",1,0)</f>
        <v>0</v>
      </c>
      <c r="AA57" s="8" t="n">
        <f aca="false">IF($A57="L2022",1,0)</f>
        <v>0</v>
      </c>
      <c r="AB57" s="8" t="n">
        <f aca="false">IF($A57="E2024",1,0)</f>
        <v>1</v>
      </c>
      <c r="AC57" s="8" t="n">
        <f aca="false">IF($A57="L2024",1,0)</f>
        <v>0</v>
      </c>
      <c r="AD57" s="11" t="n">
        <f aca="false">Coefficients!$D$5*(E57-5)+Coefficients!$D$6*(F57-5)+Coefficients!$D$7*(G57-5)+Coefficients!$D$8*(H57-5)+Coefficients!$D$9*(I57-5)+Coefficients!$D$10*(J57-5)+Coefficients!$D$11*(K57-5)+Coefficients!$D$12*(L57-5)+Coefficients!$D$13*(M57-5)+Coefficients!$D$14*(N57-5)+Coefficients!$D$16*P57+INDEX(Coefficients!$D$21:$D$27,MATCH(A57,Coefficients!$A$21:$A$27,0))</f>
        <v>-4.93499473002457</v>
      </c>
      <c r="AE57" s="17" t="n">
        <f aca="false">O57-AD57</f>
        <v>-0.112826375619287</v>
      </c>
      <c r="AF57" s="11" t="n">
        <f aca="false">INDEX(Coefficients!$D$37:$D$50,MATCH(B57,Coefficients!$A$37:$A$50,0))</f>
        <v>-0.0473037570116817</v>
      </c>
      <c r="AG57" s="17" t="n">
        <f aca="false">AE57-AF57</f>
        <v>-0.0655226186076052</v>
      </c>
    </row>
    <row r="58" customFormat="false" ht="15" hidden="false" customHeight="false" outlineLevel="0" collapsed="false">
      <c r="A58" s="23" t="s">
        <v>147</v>
      </c>
      <c r="B58" s="23" t="s">
        <v>100</v>
      </c>
      <c r="C58" s="23" t="s">
        <v>142</v>
      </c>
      <c r="D58" s="23" t="s">
        <v>97</v>
      </c>
      <c r="E58" s="27" t="n">
        <v>4.33</v>
      </c>
      <c r="F58" s="27" t="n">
        <v>9.55</v>
      </c>
      <c r="G58" s="27" t="n">
        <v>3.5</v>
      </c>
      <c r="H58" s="27" t="n">
        <v>1.97</v>
      </c>
      <c r="I58" s="27" t="n">
        <v>7.5</v>
      </c>
      <c r="J58" s="27" t="n">
        <v>5.3</v>
      </c>
      <c r="K58" s="27" t="n">
        <v>8.83</v>
      </c>
      <c r="L58" s="27" t="n">
        <v>2.5</v>
      </c>
      <c r="M58" s="27" t="n">
        <v>2</v>
      </c>
      <c r="N58" s="27" t="n">
        <v>2.33</v>
      </c>
      <c r="O58" s="11" t="n">
        <f aca="false">Votes!I58</f>
        <v>-0.610763693685368</v>
      </c>
      <c r="P58" s="11" t="n">
        <f aca="false">Votes!K58</f>
        <v>-0.325928871776501</v>
      </c>
      <c r="Q58" s="23" t="n">
        <v>3</v>
      </c>
      <c r="R58" s="27" t="n">
        <v>23.83</v>
      </c>
      <c r="S58" s="27" t="n">
        <v>27.03</v>
      </c>
      <c r="T58" s="27" t="n">
        <v>19</v>
      </c>
      <c r="U58" s="27" t="n">
        <v>11.18</v>
      </c>
      <c r="V58" s="27" t="n">
        <v>24</v>
      </c>
      <c r="W58" s="8" t="n">
        <f aca="false">IF($A58="P2017",1,0)</f>
        <v>0</v>
      </c>
      <c r="X58" s="8" t="n">
        <f aca="false">IF($A58="L2017",1,0)</f>
        <v>0</v>
      </c>
      <c r="Y58" s="8" t="n">
        <f aca="false">IF($A58="E2019",1,0)</f>
        <v>0</v>
      </c>
      <c r="Z58" s="8" t="n">
        <f aca="false">IF($A58="P2022",1,0)</f>
        <v>0</v>
      </c>
      <c r="AA58" s="8" t="n">
        <f aca="false">IF($A58="L2022",1,0)</f>
        <v>0</v>
      </c>
      <c r="AB58" s="8" t="n">
        <f aca="false">IF($A58="E2024",1,0)</f>
        <v>0</v>
      </c>
      <c r="AC58" s="8" t="n">
        <f aca="false">IF($A58="L2024",1,0)</f>
        <v>1</v>
      </c>
      <c r="AD58" s="11" t="n">
        <f aca="false">Coefficients!$D$5*(E58-5)+Coefficients!$D$6*(F58-5)+Coefficients!$D$7*(G58-5)+Coefficients!$D$8*(H58-5)+Coefficients!$D$9*(I58-5)+Coefficients!$D$10*(J58-5)+Coefficients!$D$11*(K58-5)+Coefficients!$D$12*(L58-5)+Coefficients!$D$13*(M58-5)+Coefficients!$D$14*(N58-5)+Coefficients!$D$16*P58+INDEX(Coefficients!$D$21:$D$27,MATCH(A58,Coefficients!$A$21:$A$27,0))</f>
        <v>-0.777218122730096</v>
      </c>
      <c r="AE58" s="17" t="n">
        <f aca="false">O58-AD58</f>
        <v>0.166454429044728</v>
      </c>
      <c r="AF58" s="11" t="n">
        <f aca="false">INDEX(Coefficients!$D$37:$D$50,MATCH(B58,Coefficients!$A$37:$A$50,0))</f>
        <v>0.0992840489715974</v>
      </c>
      <c r="AG58" s="17" t="n">
        <f aca="false">AE58-AF58</f>
        <v>0.0671703800731308</v>
      </c>
    </row>
    <row r="59" customFormat="false" ht="15" hidden="false" customHeight="false" outlineLevel="0" collapsed="false">
      <c r="A59" s="23" t="s">
        <v>147</v>
      </c>
      <c r="B59" s="23" t="s">
        <v>171</v>
      </c>
      <c r="C59" s="23" t="s">
        <v>142</v>
      </c>
      <c r="D59" s="23" t="s">
        <v>85</v>
      </c>
      <c r="E59" s="27" t="n">
        <v>1.270348</v>
      </c>
      <c r="F59" s="27" t="n">
        <v>2.221886</v>
      </c>
      <c r="G59" s="27" t="n">
        <v>1.404762</v>
      </c>
      <c r="H59" s="27" t="n">
        <v>5.997179</v>
      </c>
      <c r="I59" s="27" t="n">
        <v>1.855311</v>
      </c>
      <c r="J59" s="27" t="n">
        <v>8.547985</v>
      </c>
      <c r="K59" s="27" t="n">
        <v>2.370678</v>
      </c>
      <c r="L59" s="27" t="n">
        <v>7.521978</v>
      </c>
      <c r="M59" s="27" t="n">
        <v>6.802527</v>
      </c>
      <c r="N59" s="27" t="n">
        <v>6.146978</v>
      </c>
      <c r="O59" s="11" t="n">
        <f aca="false">Votes!I59</f>
        <v>-0.652552658155807</v>
      </c>
      <c r="P59" s="11" t="n">
        <f aca="false">Votes!K59</f>
        <v>-0.0399457238757242</v>
      </c>
      <c r="Q59" s="23" t="n">
        <v>1</v>
      </c>
      <c r="R59" s="27" t="n">
        <v>0</v>
      </c>
      <c r="S59" s="27" t="n">
        <v>0</v>
      </c>
      <c r="T59" s="27" t="n">
        <v>0</v>
      </c>
      <c r="U59" s="27" t="n">
        <v>2</v>
      </c>
      <c r="V59" s="27" t="n">
        <v>0.5</v>
      </c>
      <c r="W59" s="8" t="n">
        <f aca="false">IF($A59="P2017",1,0)</f>
        <v>0</v>
      </c>
      <c r="X59" s="8" t="n">
        <f aca="false">IF($A59="L2017",1,0)</f>
        <v>0</v>
      </c>
      <c r="Y59" s="8" t="n">
        <f aca="false">IF($A59="E2019",1,0)</f>
        <v>0</v>
      </c>
      <c r="Z59" s="8" t="n">
        <f aca="false">IF($A59="P2022",1,0)</f>
        <v>0</v>
      </c>
      <c r="AA59" s="8" t="n">
        <f aca="false">IF($A59="L2022",1,0)</f>
        <v>0</v>
      </c>
      <c r="AB59" s="8" t="n">
        <f aca="false">IF($A59="E2024",1,0)</f>
        <v>0</v>
      </c>
      <c r="AC59" s="8" t="n">
        <f aca="false">IF($A59="L2024",1,0)</f>
        <v>1</v>
      </c>
      <c r="AD59" s="11" t="n">
        <f aca="false">Coefficients!$D$5*(E59-5)+Coefficients!$D$6*(F59-5)+Coefficients!$D$7*(G59-5)+Coefficients!$D$8*(H59-5)+Coefficients!$D$9*(I59-5)+Coefficients!$D$10*(J59-5)+Coefficients!$D$11*(K59-5)+Coefficients!$D$12*(L59-5)+Coefficients!$D$13*(M59-5)+Coefficients!$D$14*(N59-5)+Coefficients!$D$16*P59+INDEX(Coefficients!$D$21:$D$27,MATCH(A59,Coefficients!$A$21:$A$27,0))</f>
        <v>-0.988333862645477</v>
      </c>
      <c r="AE59" s="17" t="n">
        <f aca="false">O59-AD59</f>
        <v>0.335781204489671</v>
      </c>
      <c r="AF59" s="11" t="n">
        <f aca="false">INDEX(Coefficients!$D$37:$D$50,MATCH(B59,Coefficients!$A$37:$A$50,0))</f>
        <v>0.335781204489671</v>
      </c>
      <c r="AG59" s="17" t="n">
        <f aca="false">AE59-AF59</f>
        <v>0</v>
      </c>
    </row>
    <row r="60" customFormat="false" ht="15" hidden="false" customHeight="false" outlineLevel="0" collapsed="false">
      <c r="A60" s="23" t="s">
        <v>147</v>
      </c>
      <c r="B60" s="23" t="s">
        <v>94</v>
      </c>
      <c r="C60" s="23" t="s">
        <v>142</v>
      </c>
      <c r="D60" s="23" t="s">
        <v>95</v>
      </c>
      <c r="E60" s="27" t="n">
        <v>6.316</v>
      </c>
      <c r="F60" s="27" t="n">
        <v>5.545</v>
      </c>
      <c r="G60" s="27" t="n">
        <v>6.1</v>
      </c>
      <c r="H60" s="27" t="n">
        <v>9</v>
      </c>
      <c r="I60" s="27" t="n">
        <v>4.95</v>
      </c>
      <c r="J60" s="27" t="n">
        <v>3.92</v>
      </c>
      <c r="K60" s="27" t="n">
        <v>5.376</v>
      </c>
      <c r="L60" s="27" t="n">
        <v>5.5</v>
      </c>
      <c r="M60" s="27" t="n">
        <v>4.264</v>
      </c>
      <c r="N60" s="27" t="n">
        <v>8.136</v>
      </c>
      <c r="O60" s="11" t="n">
        <f aca="false">Votes!I60</f>
        <v>-0.953521537808588</v>
      </c>
      <c r="P60" s="11" t="n">
        <f aca="false">Votes!K60</f>
        <v>0</v>
      </c>
      <c r="Q60" s="23" t="n">
        <v>0</v>
      </c>
      <c r="R60" s="27" t="n">
        <v>0</v>
      </c>
      <c r="S60" s="27" t="n">
        <v>0</v>
      </c>
      <c r="T60" s="27" t="n">
        <v>0</v>
      </c>
      <c r="U60" s="27" t="n">
        <v>0</v>
      </c>
      <c r="V60" s="27" t="n">
        <v>0</v>
      </c>
      <c r="W60" s="8" t="n">
        <f aca="false">IF($A60="P2017",1,0)</f>
        <v>0</v>
      </c>
      <c r="X60" s="8" t="n">
        <f aca="false">IF($A60="L2017",1,0)</f>
        <v>0</v>
      </c>
      <c r="Y60" s="8" t="n">
        <f aca="false">IF($A60="E2019",1,0)</f>
        <v>0</v>
      </c>
      <c r="Z60" s="8" t="n">
        <f aca="false">IF($A60="P2022",1,0)</f>
        <v>0</v>
      </c>
      <c r="AA60" s="8" t="n">
        <f aca="false">IF($A60="L2022",1,0)</f>
        <v>0</v>
      </c>
      <c r="AB60" s="8" t="n">
        <f aca="false">IF($A60="E2024",1,0)</f>
        <v>0</v>
      </c>
      <c r="AC60" s="8" t="n">
        <f aca="false">IF($A60="L2024",1,0)</f>
        <v>1</v>
      </c>
      <c r="AD60" s="11" t="n">
        <f aca="false">Coefficients!$D$5*(E60-5)+Coefficients!$D$6*(F60-5)+Coefficients!$D$7*(G60-5)+Coefficients!$D$8*(H60-5)+Coefficients!$D$9*(I60-5)+Coefficients!$D$10*(J60-5)+Coefficients!$D$11*(K60-5)+Coefficients!$D$12*(L60-5)+Coefficients!$D$13*(M60-5)+Coefficients!$D$14*(N60-5)+Coefficients!$D$16*P60+INDEX(Coefficients!$D$21:$D$27,MATCH(A60,Coefficients!$A$21:$A$27,0))</f>
        <v>-0.816228863455745</v>
      </c>
      <c r="AE60" s="17" t="n">
        <f aca="false">O60-AD60</f>
        <v>-0.137292674352843</v>
      </c>
      <c r="AF60" s="11" t="n">
        <f aca="false">INDEX(Coefficients!$D$37:$D$50,MATCH(B60,Coefficients!$A$37:$A$50,0))</f>
        <v>-0.0529529317394688</v>
      </c>
      <c r="AG60" s="17" t="n">
        <f aca="false">AE60-AF60</f>
        <v>-0.0843397426133746</v>
      </c>
    </row>
    <row r="61" customFormat="false" ht="15" hidden="false" customHeight="false" outlineLevel="0" collapsed="false">
      <c r="A61" s="23" t="s">
        <v>147</v>
      </c>
      <c r="B61" s="23" t="s">
        <v>96</v>
      </c>
      <c r="C61" s="23" t="s">
        <v>142</v>
      </c>
      <c r="D61" s="23" t="s">
        <v>97</v>
      </c>
      <c r="E61" s="27" t="n">
        <v>7.33</v>
      </c>
      <c r="F61" s="27" t="n">
        <v>8.36</v>
      </c>
      <c r="G61" s="27" t="n">
        <v>7.5</v>
      </c>
      <c r="H61" s="27" t="n">
        <v>7.12</v>
      </c>
      <c r="I61" s="27" t="n">
        <v>7</v>
      </c>
      <c r="J61" s="27" t="n">
        <v>2.6</v>
      </c>
      <c r="K61" s="27" t="n">
        <v>7.83</v>
      </c>
      <c r="L61" s="27" t="n">
        <v>4</v>
      </c>
      <c r="M61" s="27" t="n">
        <v>2.67</v>
      </c>
      <c r="N61" s="27" t="n">
        <v>7</v>
      </c>
      <c r="O61" s="11" t="n">
        <f aca="false">Votes!I61</f>
        <v>-2.10437741729454</v>
      </c>
      <c r="P61" s="11" t="n">
        <f aca="false">Votes!K61</f>
        <v>-1.81954259538567</v>
      </c>
      <c r="Q61" s="23" t="n">
        <v>3</v>
      </c>
      <c r="R61" s="27" t="n">
        <v>20.83</v>
      </c>
      <c r="S61" s="27" t="n">
        <v>28.22</v>
      </c>
      <c r="T61" s="27" t="n">
        <v>15</v>
      </c>
      <c r="U61" s="27" t="n">
        <v>6.03</v>
      </c>
      <c r="V61" s="27" t="n">
        <v>24.5</v>
      </c>
      <c r="W61" s="8" t="n">
        <f aca="false">IF($A61="P2017",1,0)</f>
        <v>0</v>
      </c>
      <c r="X61" s="8" t="n">
        <f aca="false">IF($A61="L2017",1,0)</f>
        <v>0</v>
      </c>
      <c r="Y61" s="8" t="n">
        <f aca="false">IF($A61="E2019",1,0)</f>
        <v>0</v>
      </c>
      <c r="Z61" s="8" t="n">
        <f aca="false">IF($A61="P2022",1,0)</f>
        <v>0</v>
      </c>
      <c r="AA61" s="8" t="n">
        <f aca="false">IF($A61="L2022",1,0)</f>
        <v>0</v>
      </c>
      <c r="AB61" s="8" t="n">
        <f aca="false">IF($A61="E2024",1,0)</f>
        <v>0</v>
      </c>
      <c r="AC61" s="8" t="n">
        <f aca="false">IF($A61="L2024",1,0)</f>
        <v>1</v>
      </c>
      <c r="AD61" s="11" t="n">
        <f aca="false">Coefficients!$D$5*(E61-5)+Coefficients!$D$6*(F61-5)+Coefficients!$D$7*(G61-5)+Coefficients!$D$8*(H61-5)+Coefficients!$D$9*(I61-5)+Coefficients!$D$10*(J61-5)+Coefficients!$D$11*(K61-5)+Coefficients!$D$12*(L61-5)+Coefficients!$D$13*(M61-5)+Coefficients!$D$14*(N61-5)+Coefficients!$D$16*P61+INDEX(Coefficients!$D$21:$D$27,MATCH(A61,Coefficients!$A$21:$A$27,0))</f>
        <v>-2.12062954388246</v>
      </c>
      <c r="AE61" s="17" t="n">
        <f aca="false">O61-AD61</f>
        <v>0.0162521265879212</v>
      </c>
      <c r="AF61" s="11" t="n">
        <f aca="false">INDEX(Coefficients!$D$37:$D$50,MATCH(B61,Coefficients!$A$37:$A$50,0))</f>
        <v>0.0939910574782023</v>
      </c>
      <c r="AG61" s="17" t="n">
        <f aca="false">AE61-AF61</f>
        <v>-0.0777389308902811</v>
      </c>
    </row>
    <row r="62" customFormat="false" ht="15" hidden="false" customHeight="false" outlineLevel="0" collapsed="false">
      <c r="A62" s="23" t="s">
        <v>147</v>
      </c>
      <c r="B62" s="23" t="s">
        <v>174</v>
      </c>
      <c r="C62" s="23" t="s">
        <v>142</v>
      </c>
      <c r="D62" s="23" t="s">
        <v>97</v>
      </c>
      <c r="E62" s="27" t="n">
        <v>8</v>
      </c>
      <c r="F62" s="27" t="n">
        <v>9</v>
      </c>
      <c r="G62" s="27" t="n">
        <v>5.5</v>
      </c>
      <c r="H62" s="27" t="n">
        <v>3</v>
      </c>
      <c r="I62" s="27" t="n">
        <v>8</v>
      </c>
      <c r="J62" s="27" t="n">
        <v>3</v>
      </c>
      <c r="K62" s="27" t="n">
        <v>9</v>
      </c>
      <c r="L62" s="27" t="n">
        <v>2.5</v>
      </c>
      <c r="M62" s="27" t="n">
        <v>2.5</v>
      </c>
      <c r="N62" s="27" t="n">
        <v>5</v>
      </c>
      <c r="O62" s="11" t="n">
        <f aca="false">Votes!I62</f>
        <v>-2.61115773934587</v>
      </c>
      <c r="P62" s="11" t="n">
        <f aca="false">Votes!K62</f>
        <v>-2.32632291743701</v>
      </c>
      <c r="Q62" s="23" t="n">
        <v>3</v>
      </c>
      <c r="R62" s="27" t="n">
        <v>20.16</v>
      </c>
      <c r="S62" s="27" t="n">
        <v>27.58</v>
      </c>
      <c r="T62" s="27" t="n">
        <v>17</v>
      </c>
      <c r="U62" s="27" t="n">
        <v>10.15</v>
      </c>
      <c r="V62" s="27" t="n">
        <v>23.5</v>
      </c>
      <c r="W62" s="8" t="n">
        <f aca="false">IF($A62="P2017",1,0)</f>
        <v>0</v>
      </c>
      <c r="X62" s="8" t="n">
        <f aca="false">IF($A62="L2017",1,0)</f>
        <v>0</v>
      </c>
      <c r="Y62" s="8" t="n">
        <f aca="false">IF($A62="E2019",1,0)</f>
        <v>0</v>
      </c>
      <c r="Z62" s="8" t="n">
        <f aca="false">IF($A62="P2022",1,0)</f>
        <v>0</v>
      </c>
      <c r="AA62" s="8" t="n">
        <f aca="false">IF($A62="L2022",1,0)</f>
        <v>0</v>
      </c>
      <c r="AB62" s="8" t="n">
        <f aca="false">IF($A62="E2024",1,0)</f>
        <v>0</v>
      </c>
      <c r="AC62" s="8" t="n">
        <f aca="false">IF($A62="L2024",1,0)</f>
        <v>1</v>
      </c>
      <c r="AD62" s="11" t="n">
        <f aca="false">Coefficients!$D$5*(E62-5)+Coefficients!$D$6*(F62-5)+Coefficients!$D$7*(G62-5)+Coefficients!$D$8*(H62-5)+Coefficients!$D$9*(I62-5)+Coefficients!$D$10*(J62-5)+Coefficients!$D$11*(K62-5)+Coefficients!$D$12*(L62-5)+Coefficients!$D$13*(M62-5)+Coefficients!$D$14*(N62-5)+Coefficients!$D$16*P62+INDEX(Coefficients!$D$21:$D$27,MATCH(A62,Coefficients!$A$21:$A$27,0))</f>
        <v>-2.57799223176221</v>
      </c>
      <c r="AE62" s="17" t="n">
        <f aca="false">O62-AD62</f>
        <v>-0.0331655075836679</v>
      </c>
      <c r="AF62" s="11" t="n">
        <f aca="false">INDEX(Coefficients!$D$37:$D$50,MATCH(B62,Coefficients!$A$37:$A$50,0))</f>
        <v>-0.0331655075836679</v>
      </c>
      <c r="AG62" s="17" t="n">
        <f aca="false">AE62-AF62</f>
        <v>0</v>
      </c>
    </row>
    <row r="63" customFormat="false" ht="15" hidden="false" customHeight="false" outlineLevel="0" collapsed="false">
      <c r="A63" s="23" t="s">
        <v>147</v>
      </c>
      <c r="B63" s="23" t="s">
        <v>102</v>
      </c>
      <c r="C63" s="23" t="s">
        <v>142</v>
      </c>
      <c r="D63" s="23" t="s">
        <v>97</v>
      </c>
      <c r="E63" s="27" t="n">
        <v>8.5</v>
      </c>
      <c r="F63" s="27" t="n">
        <v>9.67</v>
      </c>
      <c r="G63" s="27" t="n">
        <v>6</v>
      </c>
      <c r="H63" s="27" t="n">
        <v>1.06</v>
      </c>
      <c r="I63" s="27" t="n">
        <v>9</v>
      </c>
      <c r="J63" s="27" t="n">
        <v>2.11</v>
      </c>
      <c r="K63" s="27" t="n">
        <v>9.5</v>
      </c>
      <c r="L63" s="27" t="n">
        <v>1.67</v>
      </c>
      <c r="M63" s="27" t="n">
        <v>2.17</v>
      </c>
      <c r="N63" s="27" t="n">
        <v>5</v>
      </c>
      <c r="O63" s="11" t="n">
        <f aca="false">Votes!I63</f>
        <v>-4.280814566127</v>
      </c>
      <c r="P63" s="11" t="n">
        <f aca="false">Votes!K63</f>
        <v>-3.99597974421814</v>
      </c>
      <c r="Q63" s="23" t="n">
        <v>3</v>
      </c>
      <c r="R63" s="27" t="n">
        <v>19.66</v>
      </c>
      <c r="S63" s="27" t="n">
        <v>26.91</v>
      </c>
      <c r="T63" s="27" t="n">
        <v>16.5</v>
      </c>
      <c r="U63" s="27" t="n">
        <v>12.09</v>
      </c>
      <c r="V63" s="27" t="n">
        <v>22.5</v>
      </c>
      <c r="W63" s="8" t="n">
        <f aca="false">IF($A63="P2017",1,0)</f>
        <v>0</v>
      </c>
      <c r="X63" s="8" t="n">
        <f aca="false">IF($A63="L2017",1,0)</f>
        <v>0</v>
      </c>
      <c r="Y63" s="8" t="n">
        <f aca="false">IF($A63="E2019",1,0)</f>
        <v>0</v>
      </c>
      <c r="Z63" s="8" t="n">
        <f aca="false">IF($A63="P2022",1,0)</f>
        <v>0</v>
      </c>
      <c r="AA63" s="8" t="n">
        <f aca="false">IF($A63="L2022",1,0)</f>
        <v>0</v>
      </c>
      <c r="AB63" s="8" t="n">
        <f aca="false">IF($A63="E2024",1,0)</f>
        <v>0</v>
      </c>
      <c r="AC63" s="8" t="n">
        <f aca="false">IF($A63="L2024",1,0)</f>
        <v>1</v>
      </c>
      <c r="AD63" s="11" t="n">
        <f aca="false">Coefficients!$D$5*(E63-5)+Coefficients!$D$6*(F63-5)+Coefficients!$D$7*(G63-5)+Coefficients!$D$8*(H63-5)+Coefficients!$D$9*(I63-5)+Coefficients!$D$10*(J63-5)+Coefficients!$D$11*(K63-5)+Coefficients!$D$12*(L63-5)+Coefficients!$D$13*(M63-5)+Coefficients!$D$14*(N63-5)+Coefficients!$D$16*P63+INDEX(Coefficients!$D$21:$D$27,MATCH(A63,Coefficients!$A$21:$A$27,0))</f>
        <v>-3.94568060405576</v>
      </c>
      <c r="AE63" s="17" t="n">
        <f aca="false">O63-AD63</f>
        <v>-0.335133962071239</v>
      </c>
      <c r="AF63" s="11" t="n">
        <f aca="false">INDEX(Coefficients!$D$37:$D$50,MATCH(B63,Coefficients!$A$37:$A$50,0))</f>
        <v>-0.070706479951577</v>
      </c>
      <c r="AG63" s="17" t="n">
        <f aca="false">AE63-AF63</f>
        <v>-0.264427482119662</v>
      </c>
    </row>
    <row r="64" customFormat="false" ht="15" hidden="false" customHeight="false" outlineLevel="0" collapsed="false">
      <c r="A64" s="23" t="s">
        <v>147</v>
      </c>
      <c r="B64" s="23" t="s">
        <v>84</v>
      </c>
      <c r="C64" s="23" t="s">
        <v>142</v>
      </c>
      <c r="D64" s="23" t="s">
        <v>85</v>
      </c>
      <c r="E64" s="27" t="n">
        <v>0</v>
      </c>
      <c r="F64" s="27" t="n">
        <v>0</v>
      </c>
      <c r="G64" s="27" t="n">
        <v>0</v>
      </c>
      <c r="H64" s="27" t="n">
        <v>2</v>
      </c>
      <c r="I64" s="27" t="n">
        <v>0.5</v>
      </c>
      <c r="J64" s="27" t="n">
        <v>10</v>
      </c>
      <c r="K64" s="27" t="n">
        <v>0.5</v>
      </c>
      <c r="L64" s="27" t="n">
        <v>6</v>
      </c>
      <c r="M64" s="27" t="n">
        <v>6</v>
      </c>
      <c r="N64" s="27" t="n">
        <v>3</v>
      </c>
      <c r="O64" s="11" t="n">
        <f aca="false">Votes!I64</f>
        <v>-3.85274696063473</v>
      </c>
      <c r="P64" s="11" t="n">
        <f aca="false">Votes!K64</f>
        <v>-3.24014002635465</v>
      </c>
      <c r="Q64" s="23" t="n">
        <v>1</v>
      </c>
      <c r="R64" s="27" t="n">
        <v>1.270348</v>
      </c>
      <c r="S64" s="27" t="n">
        <v>2.221886</v>
      </c>
      <c r="T64" s="27" t="n">
        <v>1.404762</v>
      </c>
      <c r="U64" s="27" t="n">
        <v>5.997179</v>
      </c>
      <c r="V64" s="27" t="n">
        <v>1.855311</v>
      </c>
      <c r="W64" s="8" t="n">
        <f aca="false">IF($A64="P2017",1,0)</f>
        <v>0</v>
      </c>
      <c r="X64" s="8" t="n">
        <f aca="false">IF($A64="L2017",1,0)</f>
        <v>0</v>
      </c>
      <c r="Y64" s="8" t="n">
        <f aca="false">IF($A64="E2019",1,0)</f>
        <v>0</v>
      </c>
      <c r="Z64" s="8" t="n">
        <f aca="false">IF($A64="P2022",1,0)</f>
        <v>0</v>
      </c>
      <c r="AA64" s="8" t="n">
        <f aca="false">IF($A64="L2022",1,0)</f>
        <v>0</v>
      </c>
      <c r="AB64" s="8" t="n">
        <f aca="false">IF($A64="E2024",1,0)</f>
        <v>0</v>
      </c>
      <c r="AC64" s="8" t="n">
        <f aca="false">IF($A64="L2024",1,0)</f>
        <v>1</v>
      </c>
      <c r="AD64" s="11" t="n">
        <f aca="false">Coefficients!$D$5*(E64-5)+Coefficients!$D$6*(F64-5)+Coefficients!$D$7*(G64-5)+Coefficients!$D$8*(H64-5)+Coefficients!$D$9*(I64-5)+Coefficients!$D$10*(J64-5)+Coefficients!$D$11*(K64-5)+Coefficients!$D$12*(L64-5)+Coefficients!$D$13*(M64-5)+Coefficients!$D$14*(N64-5)+Coefficients!$D$16*P64+INDEX(Coefficients!$D$21:$D$27,MATCH(A64,Coefficients!$A$21:$A$27,0))</f>
        <v>-3.83985140906116</v>
      </c>
      <c r="AE64" s="17" t="n">
        <f aca="false">O64-AD64</f>
        <v>-0.0128955515735756</v>
      </c>
      <c r="AF64" s="11" t="n">
        <f aca="false">INDEX(Coefficients!$D$37:$D$50,MATCH(B64,Coefficients!$A$37:$A$50,0))</f>
        <v>-0.0473037570116817</v>
      </c>
      <c r="AG64" s="17" t="n">
        <f aca="false">AE64-AF64</f>
        <v>0.0344082054381061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2026-10-01T01:43:50Z</dcterms:created>
  <dc:creator>openpyxl</dc:creator>
  <dc:description/>
  <dc:language>en-US</dc:language>
  <cp:lastModifiedBy/>
  <dcterms:modified xsi:type="dcterms:W3CDTF">2026-10-01T01:43:50Z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